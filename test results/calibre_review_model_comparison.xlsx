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un Metrics" sheetId="2" state="visible" r:id="rId4"/>
    <sheet name="Compare Models" sheetId="3" state="visible" r:id="rId5"/>
    <sheet name="Script" sheetId="4" state="visible" r:id="rId6"/>
  </sheets>
  <definedNames>
    <definedName function="false" hidden="true" localSheetId="2" name="_xlnm._FilterDatabase" vbProcedure="false">'Compare Models'!$A$1:$I$255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<sst xmlns="http://schemas.openxmlformats.org/spreadsheetml/2006/main" count="1499" uniqueCount="496">
  <si>
    <t xml:space="preserve">calibre_review on loc-test: Ollama qwen3.5:4b vs Azure gpt-5.4-nano</t>
  </si>
  <si>
    <t xml:space="preserve">All figures below are formulas over the 'Run Metrics' and 'Compare Models' sheets. Blue = Ollama, orange = Azure in every chart.</t>
  </si>
  <si>
    <t xml:space="preserve">1. Run performance (522 books per run)</t>
  </si>
  <si>
    <t xml:space="preserve">Metric</t>
  </si>
  <si>
    <t xml:space="preserve">Ollama qwen3.5:4b</t>
  </si>
  <si>
    <t xml:space="preserve">Azure gpt-5.4-nano</t>
  </si>
  <si>
    <t xml:space="preserve">Azure vs Ollama</t>
  </si>
  <si>
    <t xml:space="preserve">Wall-clock duration (min)</t>
  </si>
  <si>
    <t xml:space="preserve">Time spent in AI calls (min)</t>
  </si>
  <si>
    <t xml:space="preserve">Non-AI overhead (min)</t>
  </si>
  <si>
    <t xml:space="preserve">Books per minute</t>
  </si>
  <si>
    <t xml:space="preserve">AI calls</t>
  </si>
  <si>
    <t xml:space="preserve">Successful calls</t>
  </si>
  <si>
    <t xml:space="preserve">Failed calls (content filter)</t>
  </si>
  <si>
    <t xml:space="preserve">n/a</t>
  </si>
  <si>
    <t xml:space="preserve">Failure rate</t>
  </si>
  <si>
    <t xml:space="preserve">Call time: min (s)</t>
  </si>
  <si>
    <t xml:space="preserve">Call time: median (s)</t>
  </si>
  <si>
    <t xml:space="preserve">Call time: mean (s)</t>
  </si>
  <si>
    <t xml:space="preserve">Call time: p95 (s)</t>
  </si>
  <si>
    <t xml:space="preserve">Call time: max (s)</t>
  </si>
  <si>
    <t xml:space="preserve">Input tokens</t>
  </si>
  <si>
    <t xml:space="preserve">Output tokens</t>
  </si>
  <si>
    <t xml:space="preserve">Total tokens</t>
  </si>
  <si>
    <t xml:space="preserve">Reasoning tokens</t>
  </si>
  <si>
    <t xml:space="preserve">Azure vs Ollama = Azure / Ollama - 1 (negative = Azure lower). Fewer/lower is better for time, calls and tokens.</t>
  </si>
  <si>
    <t xml:space="preserve">2. Accuracy on the injected errors (rows where field is not 'other')</t>
  </si>
  <si>
    <t xml:space="preserve">Outcome</t>
  </si>
  <si>
    <t xml:space="preserve">Azure - Ollama</t>
  </si>
  <si>
    <t xml:space="preserve">fixed</t>
  </si>
  <si>
    <t xml:space="preserve">flagged, other value</t>
  </si>
  <si>
    <t xml:space="preserve">ignored (by design)</t>
  </si>
  <si>
    <t xml:space="preserve">metadata also wrong</t>
  </si>
  <si>
    <t xml:space="preserve">ok, nothing proposed</t>
  </si>
  <si>
    <t xml:space="preserve">correct, nothing proposed</t>
  </si>
  <si>
    <t xml:space="preserve">FALSE ALARM</t>
  </si>
  <si>
    <t xml:space="preserve">MISSED</t>
  </si>
  <si>
    <t xml:space="preserve">Total injected rows</t>
  </si>
  <si>
    <t xml:space="preserve">Wrong outcomes (FALSE ALARM + MISSED)</t>
  </si>
  <si>
    <t xml:space="preserve">Wrong-outcome rate</t>
  </si>
  <si>
    <t xml:space="preserve">Flagged but with a different value</t>
  </si>
  <si>
    <t xml:space="preserve">'ignored (by design)' and 'ok/correct, nothing proposed' are expected behaviours, not errors. Wrong-outcome counts only FALSE ALARM and MISSED.</t>
  </si>
  <si>
    <t xml:space="preserve">3. 'Fixed' by field (authors and title errors)</t>
  </si>
  <si>
    <t xml:space="preserve">Field</t>
  </si>
  <si>
    <t xml:space="preserve">Ollama fixed</t>
  </si>
  <si>
    <t xml:space="preserve">Azure fixed</t>
  </si>
  <si>
    <t xml:space="preserve">Injected rows</t>
  </si>
  <si>
    <t xml:space="preserve">authors</t>
  </si>
  <si>
    <t xml:space="preserve">title</t>
  </si>
  <si>
    <t xml:space="preserve">4. Extra proposals on non-injected books (field = 'other')</t>
  </si>
  <si>
    <t xml:space="preserve">Measure</t>
  </si>
  <si>
    <t xml:space="preserve">Books with a proposal</t>
  </si>
  <si>
    <t xml:space="preserve">Books with no proposal</t>
  </si>
  <si>
    <t xml:space="preserve">These books had no injected error; there is no ground truth here, so more proposals is not automatically better or worse.</t>
  </si>
  <si>
    <t xml:space="preserve">started</t>
  </si>
  <si>
    <t xml:space="preserve">text_ai</t>
  </si>
  <si>
    <t xml:space="preserve">image_ai</t>
  </si>
  <si>
    <t xml:space="preserve">books</t>
  </si>
  <si>
    <t xml:space="preserve">books_done</t>
  </si>
  <si>
    <t xml:space="preserve">stopped</t>
  </si>
  <si>
    <t xml:space="preserve">duration_s</t>
  </si>
  <si>
    <t xml:space="preserve">ai_seconds</t>
  </si>
  <si>
    <t xml:space="preserve">calls</t>
  </si>
  <si>
    <t xml:space="preserve">books_with_ai</t>
  </si>
  <si>
    <t xml:space="preserve">calls_ok</t>
  </si>
  <si>
    <t xml:space="preserve">calls_failed</t>
  </si>
  <si>
    <t xml:space="preserve">failures</t>
  </si>
  <si>
    <t xml:space="preserve">not_stop_finish</t>
  </si>
  <si>
    <t xml:space="preserve">min_s</t>
  </si>
  <si>
    <t xml:space="preserve">median_s</t>
  </si>
  <si>
    <t xml:space="preserve">mean_s</t>
  </si>
  <si>
    <t xml:space="preserve">p95_s</t>
  </si>
  <si>
    <t xml:space="preserve">max_s</t>
  </si>
  <si>
    <t xml:space="preserve">input_tokens</t>
  </si>
  <si>
    <t xml:space="preserve">output_tokens</t>
  </si>
  <si>
    <t xml:space="preserve">reasoning_tokens</t>
  </si>
  <si>
    <t xml:space="preserve">ollama:qwen3.5:4b</t>
  </si>
  <si>
    <t xml:space="preserve">azure:gpt-5.4-nano</t>
  </si>
  <si>
    <t xml:space="preserve">filtered=21</t>
  </si>
  <si>
    <t xml:space="preserve">book_id</t>
  </si>
  <si>
    <t xml:space="preserve">field</t>
  </si>
  <si>
    <t xml:space="preserve">kind</t>
  </si>
  <si>
    <t xml:space="preserve">original</t>
  </si>
  <si>
    <t xml:space="preserve">wrong</t>
  </si>
  <si>
    <t xml:space="preserve">ollama:qwen3.5:4b result</t>
  </si>
  <si>
    <t xml:space="preserve">ollama:qwen3.5:4b proposed</t>
  </si>
  <si>
    <t xml:space="preserve">azure:gpt-5.4-nano result</t>
  </si>
  <si>
    <t xml:space="preserve">azure:gpt-5.4-nano proposed</t>
  </si>
  <si>
    <t xml:space="preserve">typo</t>
  </si>
  <si>
    <t xml:space="preserve">Charles Sainte-Foi</t>
  </si>
  <si>
    <t xml:space="preserve">Charles Saintee-Foi</t>
  </si>
  <si>
    <t xml:space="preserve">other book</t>
  </si>
  <si>
    <t xml:space="preserve">Elements of the Theory and Practice of Chymistry, 5th ed.</t>
  </si>
  <si>
    <t xml:space="preserve">The Female Quixote; or, The Adventures of Arabella, v. 1-2</t>
  </si>
  <si>
    <t xml:space="preserve">Elements of the Theory and Practice of Chymistry</t>
  </si>
  <si>
    <t xml:space="preserve">A Little Dinner at Timmins's</t>
  </si>
  <si>
    <t xml:space="preserve">Devereux — Volume 02</t>
  </si>
  <si>
    <t xml:space="preserve">A System of Midwifery</t>
  </si>
  <si>
    <t xml:space="preserve">A Syste of Midwifery</t>
  </si>
  <si>
    <t xml:space="preserve">series</t>
  </si>
  <si>
    <t xml:space="preserve">not a numbered series</t>
  </si>
  <si>
    <t xml:space="preserve">The Works [2]</t>
  </si>
  <si>
    <t xml:space="preserve">unknown</t>
  </si>
  <si>
    <t xml:space="preserve">Duchess of Margaret Cavendish Newcastle</t>
  </si>
  <si>
    <t xml:space="preserve">Unknown</t>
  </si>
  <si>
    <t xml:space="preserve">Margaret Cavendish</t>
  </si>
  <si>
    <t xml:space="preserve">truncated</t>
  </si>
  <si>
    <t xml:space="preserve">Chasing the Sun</t>
  </si>
  <si>
    <t xml:space="preserve">Chasing</t>
  </si>
  <si>
    <t xml:space="preserve">William Falconer</t>
  </si>
  <si>
    <t xml:space="preserve">T. S. Arthur</t>
  </si>
  <si>
    <t xml:space="preserve">Gervase Markham</t>
  </si>
  <si>
    <t xml:space="preserve">Charlotte Lennox</t>
  </si>
  <si>
    <t xml:space="preserve">Home Life in Russia, Volumes 1 and 2 / [Dead Souls]</t>
  </si>
  <si>
    <t xml:space="preserve">Home Life in Russia, Volumess 1 and 2 / [Dead Souls]</t>
  </si>
  <si>
    <t xml:space="preserve">Home Life in Russia</t>
  </si>
  <si>
    <t xml:space="preserve">Home Life in Russia, Volumes 1 and 2</t>
  </si>
  <si>
    <t xml:space="preserve">surname first</t>
  </si>
  <si>
    <t xml:space="preserve">Wilhelm Hauff</t>
  </si>
  <si>
    <t xml:space="preserve">Hauff Wilhelm</t>
  </si>
  <si>
    <t xml:space="preserve">Frederick Marryat</t>
  </si>
  <si>
    <t xml:space="preserve">The Mission</t>
  </si>
  <si>
    <t xml:space="preserve">wrong number</t>
  </si>
  <si>
    <t xml:space="preserve">6</t>
  </si>
  <si>
    <t xml:space="preserve">The Works [4]</t>
  </si>
  <si>
    <t xml:space="preserve">Project Gutenberg eBook [9594]</t>
  </si>
  <si>
    <t xml:space="preserve">Sydney Smith</t>
  </si>
  <si>
    <t xml:space="preserve">Smith Sydney</t>
  </si>
  <si>
    <t xml:space="preserve">John Franklin</t>
  </si>
  <si>
    <t xml:space="preserve">John Franlkin</t>
  </si>
  <si>
    <t xml:space="preserve">John Foxe</t>
  </si>
  <si>
    <t xml:space="preserve">Foxe John</t>
  </si>
  <si>
    <t xml:space="preserve">William Black</t>
  </si>
  <si>
    <t xml:space="preserve">Black William</t>
  </si>
  <si>
    <t xml:space="preserve">Charles Lever</t>
  </si>
  <si>
    <t xml:space="preserve">Duke of Arthur Wellesley Wellington</t>
  </si>
  <si>
    <t xml:space="preserve">Maude Alma</t>
  </si>
  <si>
    <t xml:space="preserve">Alma Maude</t>
  </si>
  <si>
    <t xml:space="preserve">Riches have wings; or, A tale for the rich and poor</t>
  </si>
  <si>
    <t xml:space="preserve">all caps</t>
  </si>
  <si>
    <t xml:space="preserve">Gaut Gurley; Or, the Trappers of Umbagog: A Tale of Border Life</t>
  </si>
  <si>
    <t xml:space="preserve">GAUT GURLEY; OR, THE TRAPPERS OF UMBAGOG: A TALE OF BORDER LIFE</t>
  </si>
  <si>
    <t xml:space="preserve">Jr. Horatio Alger</t>
  </si>
  <si>
    <t xml:space="preserve">George Augustus Sala</t>
  </si>
  <si>
    <t xml:space="preserve">Horatio Alger Jr.</t>
  </si>
  <si>
    <t xml:space="preserve">Horatio Alger, Jr.</t>
  </si>
  <si>
    <t xml:space="preserve">Some Private Views</t>
  </si>
  <si>
    <t xml:space="preserve">Som Private Views</t>
  </si>
  <si>
    <t xml:space="preserve">Equality</t>
  </si>
  <si>
    <t xml:space="preserve">EQUALITY</t>
  </si>
  <si>
    <t xml:space="preserve">number matches the title</t>
  </si>
  <si>
    <t xml:space="preserve">5</t>
  </si>
  <si>
    <t xml:space="preserve">The Works [5]</t>
  </si>
  <si>
    <t xml:space="preserve">Monsieur de Camors — Complete</t>
  </si>
  <si>
    <t xml:space="preserve">Monsieur de</t>
  </si>
  <si>
    <t xml:space="preserve">Evenings at Donaldson Manor; Or, The Christmas Guest</t>
  </si>
  <si>
    <t xml:space="preserve">Aaron Burr</t>
  </si>
  <si>
    <t xml:space="preserve">Madeline Leslie &amp; A. R. Baker</t>
  </si>
  <si>
    <t xml:space="preserve">Matthew L. Davis</t>
  </si>
  <si>
    <t xml:space="preserve">The Poems of Richard Corbet, late bishop of Oxford and of Norwich / 4th edition</t>
  </si>
  <si>
    <t xml:space="preserve">THE POEMS OF RICHARD CORBET, LATE BISHOP OF OXFORD AND OF NORWICH / 4TH EDITION</t>
  </si>
  <si>
    <t xml:space="preserve">The Poems of Richard Corbet</t>
  </si>
  <si>
    <t xml:space="preserve">The Poems of Richard Corbet, late bishop of Oxford and of Norwich</t>
  </si>
  <si>
    <t xml:space="preserve">The History and Remarkable Life of the Truly Honourable Colonel Jacque, Commonly Called Colonel Jack</t>
  </si>
  <si>
    <t xml:space="preserve">The History and Remarkable Life of the Truly Honourable Colonel Jacque, Commonly Called Colonl Jack</t>
  </si>
  <si>
    <t xml:space="preserve">The Works [1]</t>
  </si>
  <si>
    <t xml:space="preserve">The sacred theory of the Earth, Volume 1 (of 2)</t>
  </si>
  <si>
    <t xml:space="preserve">The sacred theory of the</t>
  </si>
  <si>
    <t xml:space="preserve">The Sacred Theory of the Earth</t>
  </si>
  <si>
    <t xml:space="preserve">W. Hamilton Gibson</t>
  </si>
  <si>
    <t xml:space="preserve">Gibson W. Hamilton</t>
  </si>
  <si>
    <t xml:space="preserve">In Trust: The Story of a Lady and Her Lover</t>
  </si>
  <si>
    <t xml:space="preserve">The Percheron horse</t>
  </si>
  <si>
    <t xml:space="preserve">Frederickk Marryat</t>
  </si>
  <si>
    <t xml:space="preserve">The Works [3]</t>
  </si>
  <si>
    <t xml:space="preserve">Hugh Blair Grigsby</t>
  </si>
  <si>
    <t xml:space="preserve">Hugh Blar Grigsby</t>
  </si>
  <si>
    <t xml:space="preserve">Ten Years Among the Mail Bags / Or, Notes from the Diary of a Special Agent of the Post-Office Department</t>
  </si>
  <si>
    <t xml:space="preserve">TTen Years Among the Mail Bags / Or, Notes from the Diary of a Special Agent of the Post-Office Department</t>
  </si>
  <si>
    <t xml:space="preserve">Ten Years Among the Mail Bags</t>
  </si>
  <si>
    <t xml:space="preserve">Courtship of Miles Standish / Minnehaha Edition</t>
  </si>
  <si>
    <t xml:space="preserve">Courtship of Miles Standish</t>
  </si>
  <si>
    <t xml:space="preserve">John Henry Newman</t>
  </si>
  <si>
    <t xml:space="preserve">The Ingoldsby Legends; or, Mirth and Marvels</t>
  </si>
  <si>
    <t xml:space="preserve">The Ingoldsby Legends;</t>
  </si>
  <si>
    <t xml:space="preserve">Hetty's Strange History</t>
  </si>
  <si>
    <t xml:space="preserve">HETTY'S STRANGE HISTORY</t>
  </si>
  <si>
    <t xml:space="preserve">Torbern Bergman</t>
  </si>
  <si>
    <t xml:space="preserve">John Dryden</t>
  </si>
  <si>
    <t xml:space="preserve">William Withering</t>
  </si>
  <si>
    <t xml:space="preserve">cover</t>
  </si>
  <si>
    <t xml:space="preserve">swapped</t>
  </si>
  <si>
    <t xml:space="preserve">its own cover</t>
  </si>
  <si>
    <t xml:space="preserve">cover of book 980: The Fourth Book of Virgil's Aeneid and the Ninth Book of Voltaire's Henriad</t>
  </si>
  <si>
    <t xml:space="preserve">title 'Monsieur de Camors — Complete' -&gt; 'Monsieur de Camors'</t>
  </si>
  <si>
    <t xml:space="preserve">cover of book 995: A Sicilian Romance</t>
  </si>
  <si>
    <t xml:space="preserve">title 'The Mysterious Key and What It Opened' -&gt; 'A Sicilian Romance'; authors 'Louisa May Alcott' -&gt; 'Ann Ward Radcliffe'</t>
  </si>
  <si>
    <t xml:space="preserve">cover of book 610: A sermon preach'd before the Right Honourable the Lord-Mayor : the aldermen and citizens of London / at the Cathedral-Church of St. Paul on Monday the 30th of Jan. 1709/10 being the anniversary fast for the Martyrdom of King Charles</t>
  </si>
  <si>
    <t xml:space="preserve">title 'Home Life in Russia, Volumess 1 and 2 / [Dead Souls]' -&gt; 'Home Life in Russia'; authors 'Nikolai Vasilevich Gogol' -&gt; 'Nikolai Gogol'</t>
  </si>
  <si>
    <t xml:space="preserve">title 'Home Life in Russia, Volumess 1 and 2 / [Dead Souls]' -&gt; 'Home Life in Russia, Volumes 1 and 2'</t>
  </si>
  <si>
    <t xml:space="preserve">deleted</t>
  </si>
  <si>
    <t xml:space="preserve">none</t>
  </si>
  <si>
    <t xml:space="preserve">cover of book 567: Woman, Church &amp; State / The Original Exposé of Male Collaboration Against the Female Sex</t>
  </si>
  <si>
    <t xml:space="preserve">cover of book 791: Memoirs of Margaret Fuller Ossoli, Volume I</t>
  </si>
  <si>
    <t xml:space="preserve">title 'Unknown' -&gt; 'Riches have wings; or, A tale for the rich and poor'</t>
  </si>
  <si>
    <t xml:space="preserve">title 'Monsieur de' -&gt; 'Monsieur de Camors — Complete'</t>
  </si>
  <si>
    <t xml:space="preserve">cover of book 788: Utilitarianism</t>
  </si>
  <si>
    <t xml:space="preserve">title 'Unknown' -&gt; 'Evenings at Donaldson Manor; Or, The Christmas Guest'</t>
  </si>
  <si>
    <t xml:space="preserve">cover of book 647: Three Dialogues Between Hylas and Philonous in Opposition to Sceptics and Atheists</t>
  </si>
  <si>
    <t xml:space="preserve">title 'American Historical and Literary Curiosities, Part 14. / Second Series' -&gt; 'American Historical and Literary Curiosities'</t>
  </si>
  <si>
    <t xml:space="preserve">title 'American Historical and Literary Curiosities, Part 14. / Second Series' -&gt; 'American Historical and Literary Curiosities, Part 14'; authors 'J. Jay Smith' -&gt; 'John Jay Smith'</t>
  </si>
  <si>
    <t xml:space="preserve">cover of book 938: Mercadet: A Comedy in Three Acts</t>
  </si>
  <si>
    <t xml:space="preserve">title 'The Coming Night / A Sermon Preached in Cromer Church, on Friday, June 12, 1857, on occasion of the death of Anna Gurney' -&gt; 'Mercadet: A Comedy in Three Acts'; authors 'Edward Hoare' -&gt; 'Honoré de Balzac'</t>
  </si>
  <si>
    <t xml:space="preserve">title 'The Coming Night / A Sermon Preached in Cromer Church, on Friday, June 12, 1857, on occasion of the death of Anna Gurney' -&gt; 'The Coming Night'</t>
  </si>
  <si>
    <t xml:space="preserve">title 'THE POEMS OF RICHARD CORBET, LATE BISHOP OF OXFORD AND OF NORWICH / 4TH EDITION' -&gt; 'The Poems of Richard Corbet'</t>
  </si>
  <si>
    <t xml:space="preserve">title 'THE POEMS OF RICHARD CORBET, LATE BISHOP OF OXFORD AND OF NORWICH / 4TH EDITION' -&gt; 'The Poems of Richard Corbet, late bishop of Oxford and of Norwich'</t>
  </si>
  <si>
    <t xml:space="preserve">title 'The History and Remarkable Life of the Truly Honourable Colonel Jacque, Commonly Called Colonl Jack' -&gt; 'The History and Remarkable Life of the Truly Honourable Colonel Jacque, Commonly Called Colonel Jack'</t>
  </si>
  <si>
    <t xml:space="preserve">cover of book 923: Ernest Linwood; or, The Inner Life of the Author</t>
  </si>
  <si>
    <t xml:space="preserve">authors 'Hugh Blar Grigsby' -&gt; 'Hugh Blair Grigsby'</t>
  </si>
  <si>
    <t xml:space="preserve">cover of book 825: The Botanical Magazine, Vol. 04 / Or, Flower-Garden Displayed</t>
  </si>
  <si>
    <t xml:space="preserve">title 'TTen Years Among the Mail Bags / Or, Notes from the Diary of a Special Agent of the Post-Office Department' -&gt; 'Ten Years Among the Mail Bags'</t>
  </si>
  <si>
    <t xml:space="preserve">other</t>
  </si>
  <si>
    <t xml:space="preserve">proposal</t>
  </si>
  <si>
    <t xml:space="preserve">title 'Lost Sir Massingberd: A Romance of Real Life. v. 2/2' -&gt; 'Lost Sir Massingberd: A Romance of Real Life'</t>
  </si>
  <si>
    <t xml:space="preserve">authors 'Torbern Bergman' -&gt; 'Torbern Bergman &amp; William Withering'</t>
  </si>
  <si>
    <t xml:space="preserve">title 'The Canadian Brothers; Or, The Prophecy Fulfilled: A Tale of the Late American War — Complete' -&gt; 'The Canadian Brothers; Or, The Prophecy Fulfilled: A Tale of the Late American War'</t>
  </si>
  <si>
    <t xml:space="preserve">title 'My Neighbor Raymond (Novels of Paul de Kock Volume XI)' -&gt; 'My Neighbor Raymond'</t>
  </si>
  <si>
    <t xml:space="preserve">title 'Franklin\'s Way to Wealth; or, "Poor Richard Improved"' -&gt; 'The Way to Wealth'</t>
  </si>
  <si>
    <t xml:space="preserve">title 'The Natural History of Pliny, Volume 4 (of 6)' -&gt; 'The Natural History of Pliny'</t>
  </si>
  <si>
    <t xml:space="preserve">title 'American Historical and Literary Curiosities, Part 14. / Second Series' -&gt; 'American Historical and Literary Curiosities, Part 14'</t>
  </si>
  <si>
    <t xml:space="preserve">title 'American Historical and Literary Curiosities, Part 14. / Second Series' -&gt; 'American Historical and Literary Curiosities, Part 14.'</t>
  </si>
  <si>
    <t xml:space="preserve">title 'A tour through North America' -&gt; 'A tour through North America; together with a comprehensive view of the Canadas and United States, as adapted for agricultural emigration'</t>
  </si>
  <si>
    <t xml:space="preserve">title 'Within the Maze: A Novel, Vol. 1 (of 2)' -&gt; 'Within the Maze'</t>
  </si>
  <si>
    <t xml:space="preserve">title 'The Poems of Richard Corbet, late bishop of Oxford and of Norwich / 4th edition' -&gt; 'The Poems of Richard Corbet'</t>
  </si>
  <si>
    <t xml:space="preserve">title 'The Poems of Richard Corbet, late bishop of Oxford and of Norwich / 4th edition' -&gt; 'The Poems of Richard Corbet, late bishop of Oxford and of Norwich'</t>
  </si>
  <si>
    <t xml:space="preserve">title 'Ophiolatreia / An Account of the Rites and Mysteries Connected with the Origin, Rise, and Development of Serpent Worship in Various Parts of the World' -&gt; 'Ophiolatreia'</t>
  </si>
  <si>
    <t xml:space="preserve">title 'Ophiolatreia / An Account of the Rites and Mysteries Connected with the Origin, Rise, and Development of Serpent Worship in Various Parts of the World' -&gt; 'Ophiolatreia, or Serpent Worship'</t>
  </si>
  <si>
    <t xml:space="preserve">title 'An Account of the Abipones, an Equestrian People of Paraguay, (1 of 3)' -&gt; 'An Account of the Abipones, an Equestrian People of Paraguay'</t>
  </si>
  <si>
    <t xml:space="preserve">title 'The Master of Aberfeldie, Volume 1 (of 3)' -&gt; 'The Master of Aberfeldie'</t>
  </si>
  <si>
    <t xml:space="preserve">title 'The Antiquary — Complete' -&gt; 'The Antiquary'</t>
  </si>
  <si>
    <t xml:space="preserve">title 'The Botanical Magazine, Vol. 04 / Or, Flower-Garden Displayed' -&gt; 'The Botanical Magazine, Vol. 04'</t>
  </si>
  <si>
    <t xml:space="preserve">title 'Woman, Church &amp; State / The Original Exposé of Male Collaboration Against the Female Sex' -&gt; 'Woman, Church &amp; State'</t>
  </si>
  <si>
    <t xml:space="preserve">title '"Nothing Between" / The Special Doctrines Vindicated at the Reformation as Bearing upon the Spiritual Life of the Church' -&gt; 'Nothing Between'</t>
  </si>
  <si>
    <t xml:space="preserve">title 'The Hampstead mystery: a novel. Volume 1 (of 3)' -&gt; 'The Hampstead Mystery'</t>
  </si>
  <si>
    <t xml:space="preserve">title 'Historical record of the Twenty-second, or the Cheshire Regiment of Foot / containing an account of the formation of the regiment in 1689, and of its subsequent services to 1849' -&gt; 'Historical Record of the Twenty-second, or the Cheshire Regiment of Foot'</t>
  </si>
  <si>
    <t xml:space="preserve">title 'Historical record of the Twenty-second, or the Cheshire Regiment of Foot / containing an account of the formation of the regiment in 1689, and of its subsequent services to 1849' -&gt; 'Historical record of the Twenty-second, or the Cheshire Regiment of Foot'</t>
  </si>
  <si>
    <t xml:space="preserve">title 'The House of the Wolfings / A Tale of the House of the Wolfings and All the Kindreds of the Mark Written in Prose and in Verse' -&gt; 'The House of the Wolfings'</t>
  </si>
  <si>
    <t xml:space="preserve">title 'The Loss of the Kent, East Indiaman, in the Bay of Biscay / Narrated in a Letter to a Friend' -&gt; 'The Loss of the Kent, East Indiaman, in the Bay of Biscay'</t>
  </si>
  <si>
    <t xml:space="preserve">title 'The Life of Abraham Lincoln, from His Birth to His Inauguration as President' -&gt; 'The Life of Abraham Lincoln'; authors 'Ward Hill Lamon' -&gt; 'Ward H. Lamon'</t>
  </si>
  <si>
    <t xml:space="preserve">title 'The government class book / Designed for the instruction of youth in the principles of constitutional government and the rights and duties of citizens.' -&gt; 'The government class book'</t>
  </si>
  <si>
    <t xml:space="preserve">title 'Plato and the Other Companions of Sokrates, 3rd ed. Volume 2' -&gt; 'Plato and the Other Companions of Sokrates'</t>
  </si>
  <si>
    <t xml:space="preserve">authors 'Baron Edward Bulwer Lytton Lytton' -&gt; 'Baron Edward Bulwer Lytton'</t>
  </si>
  <si>
    <t xml:space="preserve">title 'Love in the Suds: a Town Eclogue. / Being the Lamentation of Roscius for the Loss of His Nyky.' -&gt; 'Love in the Suds: a Town Eclogue'</t>
  </si>
  <si>
    <t xml:space="preserve">title 'Love in the Suds: a Town Eclogue. / Being the Lamentation of Roscius for the Loss of His Nyky.' -&gt; 'Love in the Suds: a Town Eclogue.'</t>
  </si>
  <si>
    <t xml:space="preserve">title 'The Witchcraft Delusion in New England: Its Rise, Progress, and Termination, (Vol. 1 of 3)' -&gt; 'The Witchcraft Delusion in New England: Its Rise, Progress, and Termination'</t>
  </si>
  <si>
    <t xml:space="preserve">title 'An Etymological Dictionary of the Scottish Language / in which the words are explained in their different senses, authorized by the names of the writers by whom they are used, or the titles of the works in which they occur, and deduced from their originals' -&gt; 'An Etymological Dictionary of the Scottish Language'</t>
  </si>
  <si>
    <t xml:space="preserve">title 'Carols of Cockayne / The Third Edition, 1874' -&gt; 'Carols of Cockayne'</t>
  </si>
  <si>
    <t xml:space="preserve">title 'The Happy Prince, and Other Tales' -&gt; 'The Happy Prince'</t>
  </si>
  <si>
    <t xml:space="preserve">title 'The heiress of McGregor' -&gt; 'The heiress of McGregor; or, Living for self'</t>
  </si>
  <si>
    <t xml:space="preserve">title 'Pictures by Gavarni' -&gt; 'Humorous Masterpieces: Pictures by Gavarni'</t>
  </si>
  <si>
    <t xml:space="preserve">title 'The Squatter and the Don / A Novel Descriptive of Contemporary Occurrences in California' -&gt; 'The Squatter and the Don'</t>
  </si>
  <si>
    <t xml:space="preserve">title 'Half-hours with the Telescope / Being a Popular Guide to the Use of the Telescope as a Means of Amusement and Instruction.' -&gt; 'Half-hours with the Telescope'</t>
  </si>
  <si>
    <t xml:space="preserve">title "The professor's experiment: A novel, Vol. 2 (of 3)" -&gt; "The Professor's Experiment"; authors 'Duchess' -&gt; 'Mrs. Hungerford'</t>
  </si>
  <si>
    <t xml:space="preserve">title "A sermon preach'd before the Right Honourable the Lord-Mayor : the aldermen and citizens of London / at the Cathedral-Church of St. Paul on Monday the 30th of Jan. 1709/10 being the anniversary fast for the Martyrdom of King Charles" -&gt; "A sermon preach'd before the Right Honourable the Lord-Mayor : the aldermen and citizens of London"</t>
  </si>
  <si>
    <t xml:space="preserve">title 'Rachel Dyer' -&gt; 'Rachel Dyer: A North American Story'</t>
  </si>
  <si>
    <t xml:space="preserve">title 'Gustavus Vasa / and other poems' -&gt; 'Gustavus Vasa'</t>
  </si>
  <si>
    <t xml:space="preserve">title 'The sacred theory of the Earth, Volume 1 (of 2)' -&gt; 'The Sacred Theory of the Earth'</t>
  </si>
  <si>
    <t xml:space="preserve">title 'Historical Record of the Sixteenth, or, the Bedfordshire Regiment of Foot / Containing an Account of the Formation of the Regiment in 1688, and of Its Subsequent Services to 1848' -&gt; 'Historical Record of the Sixteenth, or, the Bedfordshire Regiment of Foot'</t>
  </si>
  <si>
    <t xml:space="preserve">title 'Obedience to the Articles and Rubrics of the Church of England / a Bond of Union between the Established Clergy' -&gt; 'Obedience to the Articles and Rubrics of the Church of England'</t>
  </si>
  <si>
    <t xml:space="preserve">title 'Modern Painters, Volume 1 (of 5)' -&gt; 'Modern Painters'</t>
  </si>
  <si>
    <t xml:space="preserve">title 'Davenport Dunn, a Man of Our Day. Volume 2 (of 2)' -&gt; 'Davenport Dunn, A Man of Our Day'</t>
  </si>
  <si>
    <t xml:space="preserve">authors 'Mrs. Oliphant' -&gt; 'M. O. W. Oliphant'</t>
  </si>
  <si>
    <t xml:space="preserve">authors 'John Aikin &amp; Mrs. Barbauld' -&gt; 'John Aikin &amp; Anna Lætitia Barbauld'</t>
  </si>
  <si>
    <t xml:space="preserve">title 'The Life of Captain Sir Richard F. Burton, volume 1 (of 2) / By His Wife, Isabel Burton' -&gt; 'The Life of Captain Sir Richard F. Burton'; authors 'Lady Isabel Burton' -&gt; 'Isabel Burton'</t>
  </si>
  <si>
    <t xml:space="preserve">title 'The Life of Captain Sir Richard F. Burton, volume 1 (of 2) / By His Wife, Isabel Burton' -&gt; 'The Life of Captain Sir Richard F. Burton, volume 1 (of 2)'; authors 'Lady Isabel Burton' -&gt; 'Isabel Burton'</t>
  </si>
  <si>
    <t xml:space="preserve">title 'A Dictionary of Slang, Cant, and Vulgar Words / Used at the Present Day in the Streets of London; the Universities of Oxford and Cambridge; the Houses of Parliament; the Dens of St. Giles; and the Palaces of St. James.' -&gt; 'A Dictionary of Modern Slang, Cant, and Vulgar Words'</t>
  </si>
  <si>
    <t xml:space="preserve">title 'A Dictionary of Slang, Cant, and Vulgar Words / Used at the Present Day in the Streets of London; the Universities of Oxford and Cambridge; the Houses of Parliament; the Dens of St. Giles; and the Palaces of St. James.' -&gt; 'A Dictionary of Slang, Cant, and Vulgar Words'</t>
  </si>
  <si>
    <t xml:space="preserve">title 'Memoirs of the Court and Cabinets of George the Third / From the Original Family Documents, Volume 2' -&gt; 'Memoirs of the Court and Cabinets of George the Third'; authors 'Duke of Richard Plantagenet Temple Nugent Brydges Chandos Grenville Buckingham &amp; Chandos' -&gt; 'Duke of Richard Plantagenet Temple Nugent Brydges Chandos Grenville Buckingham and Chandos'</t>
  </si>
  <si>
    <t xml:space="preserve">authors 'James White' -&gt; 'James Springer White'</t>
  </si>
  <si>
    <t xml:space="preserve">title 'India Under British Rule from the Foundation of the East India Company' -&gt; 'India Under British Rule'; authors 'James Talboys Wheeler' -&gt; 'J. Talboys Wheeler'</t>
  </si>
  <si>
    <t xml:space="preserve">authors 'Sir Richard Francis Burton' -&gt; 'Richard F. Burton'</t>
  </si>
  <si>
    <t xml:space="preserve">title 'Sabbath-Breaking on the Canal: A Poem' -&gt; 'Sabbath-Breaking on the Canal'</t>
  </si>
  <si>
    <t xml:space="preserve">title "Stray Leaves from an Arctic Journal / Or, Eighteen Months in the Polar Regions, in Search of Sir John Franklin's Expedition, in the Years 1850-51" -&gt; 'Stray Leaves from an Arctic Journal'</t>
  </si>
  <si>
    <t xml:space="preserve">title "Records of Captain Clapperton's last expedition to Africa, Vol. 1 (of 2)" -&gt; "Records of Captain Clapperton's last expedition to Africa"</t>
  </si>
  <si>
    <t xml:space="preserve">title "Records of Captain Clapperton's last expedition to Africa, Vol. 1 (of 2)" -&gt; 'Records of Captain Clapperton’s last expedition to Africa'</t>
  </si>
  <si>
    <t xml:space="preserve">title 'Under the Mendips: A Tale' -&gt; 'Under the Mendips'</t>
  </si>
  <si>
    <t xml:space="preserve">title 'The History of Don Quixote, Volume 2, Part 22' -&gt; 'The History of Don Quixote'</t>
  </si>
  <si>
    <t xml:space="preserve">title 'Treasure of the Seas / Illustrated' -&gt; 'Treasure of the Seas'</t>
  </si>
  <si>
    <t xml:space="preserve">title 'Ten Years Among the Mail Bags / Or, Notes from the Diary of a Special Agent of the Post-Office Department' -&gt; 'Ten Years Among the Mail Bags'</t>
  </si>
  <si>
    <t xml:space="preserve">title 'The Life of George Washington, Vol. 5 / Commander in Chief of the American Forces During the War / which Established the Independence of his Country and First / President of the United States' -&gt; 'The Life of George Washington'</t>
  </si>
  <si>
    <t xml:space="preserve">title 'The Life of George Washington, Vol. 5 / Commander in Chief of the American Forces During the War / which Established the Independence of his Country and First / President of the United States' -&gt; 'The Life of George Washington, Vol. 5'</t>
  </si>
  <si>
    <t xml:space="preserve">title 'Effie Ogilvie: the story of a young life; vol. 1' -&gt; 'Effie Ogilvie: The Story of a Young Life'</t>
  </si>
  <si>
    <t xml:space="preserve">title 'Historical Record of the Seventeenth, or the Leicestershire Regiment of Foot / Containing an Account of the Formation of the Regiment in 1688, and of Its Subsequent Services to 1848' -&gt; 'Historical Record of the Seventeenth, or the Leicestershire Regiment of Foot'</t>
  </si>
  <si>
    <t xml:space="preserve">title 'Remedia Amoris; or, The Remedy of Love / Literally Translated into English Prose, with Copious Notes' -&gt; 'Remedia Amoris; or, The Remedy of Love'</t>
  </si>
  <si>
    <t xml:space="preserve">title 'Stories for the Young; Or, Cheap Repository Tracts / Entertaining, Moral, and Religious. Vol. VI.' -&gt; 'Stories for the Young; Or, Cheap Repository Tracts'</t>
  </si>
  <si>
    <t xml:space="preserve">authors 'Major Richardson' -&gt; 'John Richardson'</t>
  </si>
  <si>
    <t xml:space="preserve">title 'Reminiscences: a Topographical Account of Market Lavington, Wilts, Its Past and Present Condition. / Also, the Rise and Progress of the Independent Church in That Place. And the Authentic History of David Saunders, the Pious Shepherd of Salisbury Plain.' -&gt; 'Reminiscences: a Topographical Account of Market Lavington, Wilts, Its Past and Present Condition'</t>
  </si>
  <si>
    <t xml:space="preserve">title 'Australia Twice Traversed / The Romance of Exploration, Being a Narrative Compiled from the Journals of Five Exploring Expeditions into and Through Central South Australia and Western Australia, from 1872 to 1876' -&gt; 'Australia Twice Traversed'</t>
  </si>
  <si>
    <t xml:space="preserve">title 'Grounds of Natural Philosophy: Divided into Thirteen Parts / The Second Edition, much altered from the First, which went under the Name of Philosophical and Physical Opinions' -&gt; 'Grounds of Natural Philosophy'; authors 'Duchess of Margaret Cavendish Newcastle' -&gt; 'Margaret Cavendish'</t>
  </si>
  <si>
    <t xml:space="preserve">title 'Grounds of Natural Philosophy: Divided into Thirteen Parts / The Second Edition, much altered from the First, which went under the Name of Philosophical and Physical Opinions' -&gt; 'Grounds of Natural Philosophy: Divided into Thirteen Parts'</t>
  </si>
  <si>
    <t xml:space="preserve">title 'Travels in Kamtschatka, During the Years 1787 and 1788, Volume 1' -&gt; 'Travels in Kamtschatka, During the Years 1787 and 1788'</t>
  </si>
  <si>
    <t xml:space="preserve">authors 'baron de Jean-Baptiste-Barthélemy Lesseps' -&gt; 'Baron Jean-Baptiste-Barthélemy Lesseps'</t>
  </si>
  <si>
    <t xml:space="preserve">title 'The Legend of Kupirri, or, The Red Kangaroo / An Aboriginal Tradition of the Port Lincoln Tribe' -&gt; 'The Legend of Kupirri, or The Red Kangaroo'</t>
  </si>
  <si>
    <t xml:space="preserve">title 'The Legend of Kupirri, or, The Red Kangaroo / An Aboriginal Tradition of the Port Lincoln Tribe' -&gt; 'The Legend of Kupirri, or, The Red Kangaroo'</t>
  </si>
  <si>
    <t xml:space="preserve">title 'The archæology of Rome, Part 7' -&gt; 'The Flavian Amphitheatre, commonly called The Colosseum at Rome: Its History and Substructures Compared with Other Amphitheatres'</t>
  </si>
  <si>
    <t xml:space="preserve">title 'The archæology of Rome, Part 7' -&gt; 'The Flavian Amphitheatre, Commonly Called The Colosseum at Rome: Its History and Substructures Compared with Other Amphitheatres'</t>
  </si>
  <si>
    <t xml:space="preserve">title 'Ecclesiastical History of England, Volume 4—The Church of the Restoration [part 2]' -&gt; 'Ecclesiastical History of England'</t>
  </si>
  <si>
    <t xml:space="preserve">title 'The History of Painting in Italy, Vol. 3 (of 6) / From the Period of the Revival of the Fine Arts to the End of the Eighteenth Century' -&gt; 'The History of Painting in Italy'</t>
  </si>
  <si>
    <t xml:space="preserve">title 'The History of Painting in Italy, Vol. 3 (of 6) / From the Period of the Revival of the Fine Arts to the End of the Eighteenth Century' -&gt; 'The History of Painting in Italy, Vol. 3 (of 6)'</t>
  </si>
  <si>
    <t xml:space="preserve">title 'The Young Pilgrim: A Tale Illustrative of "The Pilgrim\'s Progress"' -&gt; 'The Young Pilgrim: A Tale'</t>
  </si>
  <si>
    <t xml:space="preserve">authors 'Duke of Arthur Wellesley Wellington' -&gt; 'George Henry Francis'</t>
  </si>
  <si>
    <t xml:space="preserve">title 'Courtship of Miles Standish / Minnehaha Edition' -&gt; 'Courtship of Miles Standish'</t>
  </si>
  <si>
    <t xml:space="preserve">title 'History of the Negro Race in America from 1619 to 1880. Vol 1 / Negroes as Slaves, as Soldiers, and as Citizens' -&gt; 'History of the Negro Race in America from 1619 to 1880'</t>
  </si>
  <si>
    <t xml:space="preserve">title 'History of the Negro Race in America from 1619 to 1880. Vol 1 / Negroes as Slaves, as Soldiers, and as Citizens' -&gt; 'History of the Negro Race in America from 1619 to 1880. Vol 1'</t>
  </si>
  <si>
    <t xml:space="preserve">title 'Zanzibar; city, island, and coast. Vol. 1 (of 2)' -&gt; 'Zanzibar: City, Island, and Coast'; authors 'Sir Richard Francis Burton' -&gt; 'Richard F. Burton'</t>
  </si>
  <si>
    <t xml:space="preserve">title 'Superstitions of the Highlands &amp; Islands of Scotland / Collected Entirely from Oral Sources' -&gt; 'Superstitions of the Highlands &amp; Islands of Scotland'</t>
  </si>
  <si>
    <t xml:space="preserve">title 'The Divine Comedy by Dante, Illustrated, Purgatory, Volume 2' -&gt; 'The Divine Comedy'</t>
  </si>
  <si>
    <t xml:space="preserve">title 'The Proportions of Christian Liberality / A sermon, preached before a Monthly Association of Congregational Ministers and Churches, held at Trevor Chapel, Brompton, April 8, 1824' -&gt; 'The Proportions of Christian Liberality'</t>
  </si>
  <si>
    <t xml:space="preserve">title 'The Huguenot: A Tale of the French Protestants. Volumes I-III' -&gt; 'The Huguenot: A Tale of the French Protestants'</t>
  </si>
  <si>
    <t xml:space="preserve">authors 'Friedrich Engels &amp; Karl Marx' -&gt; 'Karl Marx'</t>
  </si>
  <si>
    <t xml:space="preserve">title "The Seaman's Friend / Containing a treatise on practical seamanship, with plates, a dictionary of sea terms, customs and usages of the merchant service" -&gt; "The Seaman's Friend"; authors 'Richard Henry Dana' -&gt; 'R. H. Dana Jr.'</t>
  </si>
  <si>
    <t xml:space="preserve">title "The Seaman's Friend / Containing a treatise on practical seamanship, with plates, a dictionary of sea terms, customs and usages of the merchant service" -&gt; "The Seaman's Friend"</t>
  </si>
  <si>
    <t xml:space="preserve">authors 'Mary Louisa Boyle' -&gt; 'Mary L. Boyle'</t>
  </si>
  <si>
    <t xml:space="preserve">title 'Naomi' -&gt; 'Naomi; or the last days of Jerusalem'</t>
  </si>
  <si>
    <t xml:space="preserve">title 'The Talk of the Town, Volume 2 (of 2)' -&gt; 'The talk of the town'</t>
  </si>
  <si>
    <t xml:space="preserve">title 'The Writings of Thomas Jefferson, Vol. 4 (of 9) / Being His Autobiography, Correspondence, Reports, Messages, Addresses, and Other Writings, Official and Private' -&gt; 'The Writings of Thomas Jefferson'</t>
  </si>
  <si>
    <t xml:space="preserve">title 'The Writings of Thomas Jefferson, Vol. 4 (of 9) / Being His Autobiography, Correspondence, Reports, Messages, Addresses, and Other Writings, Official and Private' -&gt; 'The Writings of Thomas Jefferson, Vol. 4 (of 9)'</t>
  </si>
  <si>
    <t xml:space="preserve">title 'Frédérique, vol. 2' -&gt; 'Frédérique'</t>
  </si>
  <si>
    <t xml:space="preserve">title "A Voyage to Terra Australis — Volume 2 / Undertaken for the purpose of completing the discovery of that vast country, and prosecuted in the years 1801, 1802 and 1803, in His Majesty's ship the Investigator, and subsequently in the armed vessel Porpoise and Cumberland schooner" -&gt; 'A Voyage to Terra Australis — Volume 2'</t>
  </si>
  <si>
    <t xml:space="preserve">title 'The Boy Travellers in the Far East, Part Third / Adventures of Two Youths in a Journey to Ceylon and India; With Descriptions of Borneo, the Philippine Islands and Burmah' -&gt; 'The Boy Travellers in the Far East, Part Third'</t>
  </si>
  <si>
    <t xml:space="preserve">title "Divine Comedy, Longfellow's Translation, Complete" -&gt; 'The Divine Comedy'</t>
  </si>
  <si>
    <t xml:space="preserve">title 'The Man Who Laughs: A Romance of English History' -&gt; 'The Man Who Laughs'</t>
  </si>
  <si>
    <t xml:space="preserve">title 'The Principal Navigations, Voyages, Traffiques and Discoveries of the English Nation — Volume 09 / Asia, Part II' -&gt; 'The Principal Navigations, Voyages, Traffiques and Discoveries of the English Nation — Volume 09'</t>
  </si>
  <si>
    <t xml:space="preserve">authors 'Torbern Bergman' -&gt; 'William Withering'</t>
  </si>
  <si>
    <t xml:space="preserve">title 'Gleanings in Europe' -&gt; 'Gleanings in Europe: England'</t>
  </si>
  <si>
    <t xml:space="preserve">title 'Within the Maze: A Novel, Vol. 1 (of 2)' -&gt; 'Within the Maze: A Novel'</t>
  </si>
  <si>
    <t xml:space="preserve">title 'Elements of the Theory and Practice of Chymistry, 5th ed.' -&gt; 'Elements of the Theory and Practice of Chymistry'</t>
  </si>
  <si>
    <t xml:space="preserve">authors 'Duchess of Margaret Cavendish Newcastle' -&gt; 'Margaret Cavendish'</t>
  </si>
  <si>
    <t xml:space="preserve">title 'An Universal Dictionary of the Marine / Or, a Copious Explanation of the Technical Terms and Phrases Employed in the Construction, Equipment, Furniture, Machinery, Movements, and Military Operations of a Ship. Illustrated With Variety of Original Designs of Shipping, in Different Situations; Together With Separate Views of Their Masts, Sails, Yards, and Rigging. to Which Is Annexed, a Translation of the French Sea-terms and Phrases, Collected from the Works of Mess. Du Hamel, Aubin, Saverien, &amp;c.' -&gt; 'An Universal Dictionary of the Marine'</t>
  </si>
  <si>
    <t xml:space="preserve">authors 'S. O. Johnson' -&gt; 'Mrs. S. O. Johnson'</t>
  </si>
  <si>
    <t xml:space="preserve">authors 'Duchess' -&gt; 'Mrs. Hungerford'</t>
  </si>
  <si>
    <t xml:space="preserve">title 'Davenport Dunn, a Man of Our Day. Volume 2 (of 2)' -&gt; 'Davenport Dunn, a Man of Our Day'</t>
  </si>
  <si>
    <t xml:space="preserve">title 'The Female Quixote; or, The Adventures of Arabella, v. 1-2' -&gt; 'The Female Quixote; or, The Adventures of Arabella'</t>
  </si>
  <si>
    <t xml:space="preserve">title 'The English Husbandman / The First Part: Contayning the Knowledge of the true Nature of euery Soyle within this Kingdome: how to Plow it; and the manner of the Plough, and other Instruments' -&gt; 'The English Husbandman'</t>
  </si>
  <si>
    <t xml:space="preserve">title 'Home Life in Russia, Volumes 1 and 2 / [Dead Souls]' -&gt; 'Home Life in Russia'; authors 'Nikolai Vasilevich Gogol' -&gt; 'Nikolai Gogol'</t>
  </si>
  <si>
    <t xml:space="preserve">title 'Home Life in Russia, Volumes 1 and 2 / [Dead Souls]' -&gt; 'Home Life in Russia, Volumes 1 and 2'</t>
  </si>
  <si>
    <t xml:space="preserve">title "Fox's Book of Martyrs / Or A History of the Lives, Sufferings, and Triumphant / Deaths of the Primitive Protestant Martyrs" -&gt; "Fox's Book of Martyrs"</t>
  </si>
  <si>
    <t xml:space="preserve">title 'Effie Ogilvie: the story of a young life; vol. 1' -&gt; 'Effie Ogilvie: the story of a young life'</t>
  </si>
  <si>
    <t xml:space="preserve">title 'The Confessions of Harry Lorrequer — Volume 2' -&gt; 'The Confessions of Harry Lorrequer'</t>
  </si>
  <si>
    <t xml:space="preserve">title 'The archæology of Rome, Part 7' -&gt; 'The Flavian Amphitheatre, Commonly Called The Colosseum at Rome: Its History and Substructures Compared with Other Amphitheatres.'</t>
  </si>
  <si>
    <t xml:space="preserve">title 'The Divine Comedy by Dante, Illustrated, Purgatory, Volume 2' -&gt; 'Purgatory'</t>
  </si>
  <si>
    <t xml:space="preserve">title 'Naomi' -&gt; 'Naomi, and Mary the Sister of Lazarus'</t>
  </si>
  <si>
    <t xml:space="preserve">title 'The Goblin Groom: a Tale of Dunse' -&gt; 'The Goblin Groom'</t>
  </si>
  <si>
    <t xml:space="preserve">Line</t>
  </si>
  <si>
    <t xml:space="preserve">loc-test_run_metrics.py</t>
  </si>
  <si>
    <t xml:space="preserve">"""Performance metrics of the Metadata Review runs on loc-test, from the review's performance log.</t>
  </si>
  <si>
    <t xml:space="preserve">For each review run over loc-test (a run whose book count equals loc-test's): the AI models,</t>
  </si>
  <si>
    <t xml:space="preserve">wall-clock duration, books done, AI calls by outcome (ok / error / too_long / ...), the time</t>
  </si>
  <si>
    <t xml:space="preserve">per call (min, median, mean, p95, max), the slowest and fastest calls with their book, and</t>
  </si>
  <si>
    <t xml:space="preserve">the tokens. With two or more runs, a side-by-side table closes the report.</t>
  </si>
  <si>
    <t xml:space="preserve">    C:\\Github\\CalibreDedup\\.venv\\Scripts\\python.exe C:\\Calibre\\loc-test_run_metrics.py [--last N]</t>
  </si>
  <si>
    <t xml:space="preserve">Default: the last 2 runs. The perf log gives a book only as its number in the run; books are</t>
  </si>
  <si>
    <t xml:space="preserve">read in id order (library.read_books) and loc-test has no AIReviewed tag, so number n is the</t>
  </si>
  <si>
    <t xml:space="preserve">n-th book id of loc-test/metadata.db. Nothing is written to the library; one row per run goes</t>
  </si>
  <si>
    <t xml:space="preserve">to loc-test_run_metrics.csv beside this script.</t>
  </si>
  <si>
    <t xml:space="preserve">"""</t>
  </si>
  <si>
    <t xml:space="preserve">import csv</t>
  </si>
  <si>
    <t xml:space="preserve">import json</t>
  </si>
  <si>
    <t xml:space="preserve">import sqlite3</t>
  </si>
  <si>
    <t xml:space="preserve">import statistics</t>
  </si>
  <si>
    <t xml:space="preserve">import sys</t>
  </si>
  <si>
    <t xml:space="preserve">from pathlib import Path</t>
  </si>
  <si>
    <t xml:space="preserve">HERE = Path(__file__).resolve().parent</t>
  </si>
  <si>
    <t xml:space="preserve">LIBRARY = HERE / "loc-test"</t>
  </si>
  <si>
    <t xml:space="preserve">REPORT = HERE / "loc-test_run_metrics.csv"</t>
  </si>
  <si>
    <t xml:space="preserve">PERF = Path.home() / ".CalibreDedup" / "calibre_review_perf.log"</t>
  </si>
  <si>
    <t xml:space="preserve">TOP = 5</t>
  </si>
  <si>
    <t xml:space="preserve">def events() -&gt; list[dict]:</t>
  </si>
  <si>
    <t xml:space="preserve">    """Every event of the perf log, rotated files included, oldest first."""</t>
  </si>
  <si>
    <t xml:space="preserve">    files = sorted(PERF.parent.glob(PERF.name + ".*"), key=lambda p: -int(p.suffix[1:])) + [PERF]</t>
  </si>
  <si>
    <t xml:space="preserve">    out = []</t>
  </si>
  <si>
    <t xml:space="preserve">    for f in files:</t>
  </si>
  <si>
    <t xml:space="preserve">        if f.is_file():</t>
  </si>
  <si>
    <t xml:space="preserve">            with f.open(encoding="utf-8") as fh:</t>
  </si>
  <si>
    <t xml:space="preserve">                out += [json.loads(line) for line in fh if line.strip()]</t>
  </si>
  <si>
    <t xml:space="preserve">    return out</t>
  </si>
  <si>
    <t xml:space="preserve">def library_books() -&gt; list[tuple[int, str]]:</t>
  </si>
  <si>
    <t xml:space="preserve">    db = sqlite3.connect(LIBRARY.joinpath("metadata.db").resolve().as_uri() + "?mode=ro", uri=True)</t>
  </si>
  <si>
    <t xml:space="preserve">    try:</t>
  </si>
  <si>
    <t xml:space="preserve">        return db.execute("SELECT id, title FROM books ORDER BY id").fetchall()</t>
  </si>
  <si>
    <t xml:space="preserve">    finally:</t>
  </si>
  <si>
    <t xml:space="preserve">        db.close()</t>
  </si>
  <si>
    <t xml:space="preserve">def runs(evts: list[dict], books: int) -&gt; list[dict]:</t>
  </si>
  <si>
    <t xml:space="preserve">    """The review runs over `books` books: start, calls and end (None if the run never ended)."""</t>
  </si>
  <si>
    <t xml:space="preserve">    found, current = [], None</t>
  </si>
  <si>
    <t xml:space="preserve">    for e in evts:</t>
  </si>
  <si>
    <t xml:space="preserve">        if e["event"] == "run_start":</t>
  </si>
  <si>
    <t xml:space="preserve">            current = {"start": e, "calls": [], "end": None} if e.get("program") == "review" else None</t>
  </si>
  <si>
    <t xml:space="preserve">            if current is not None and e["books"] == books:</t>
  </si>
  <si>
    <t xml:space="preserve">                found.append(current)</t>
  </si>
  <si>
    <t xml:space="preserve">        elif current is not None and e["event"] == "call" and e.get("book") is not None:</t>
  </si>
  <si>
    <t xml:space="preserve">            current["calls"].append(e)</t>
  </si>
  <si>
    <t xml:space="preserve">        elif current is not None and e["event"] == "run_end":</t>
  </si>
  <si>
    <t xml:space="preserve">            current["end"] = e</t>
  </si>
  <si>
    <t xml:space="preserve">            current = None</t>
  </si>
  <si>
    <t xml:space="preserve">    return found</t>
  </si>
  <si>
    <t xml:space="preserve">def ai_name(d: dict | None) -&gt; str:</t>
  </si>
  <si>
    <t xml:space="preserve">    return f"{d['provider']}:{d['model']}" if d else "none"</t>
  </si>
  <si>
    <t xml:space="preserve">def pct(values: list[float], p: float) -&gt; float:</t>
  </si>
  <si>
    <t xml:space="preserve">    s = sorted(values)</t>
  </si>
  <si>
    <t xml:space="preserve">    return s[min(len(s) - 1, int(round(p * (len(s) - 1))))]</t>
  </si>
  <si>
    <t xml:space="preserve">def summarize(run: dict, books: list[tuple[int, str]]) -&gt; dict:</t>
  </si>
  <si>
    <t xml:space="preserve">    start, end, calls = run["start"], run["end"], run["calls"]</t>
  </si>
  <si>
    <t xml:space="preserve">    secs = [c["seconds"] for c in calls]</t>
  </si>
  <si>
    <t xml:space="preserve">    outcomes: dict[str, int] = {}</t>
  </si>
  <si>
    <t xml:space="preserve">    for c in calls:</t>
  </si>
  <si>
    <t xml:space="preserve">        outcomes[c["outcome"]] = outcomes.get(c["outcome"], 0) + 1</t>
  </si>
  <si>
    <t xml:space="preserve">    return {</t>
  </si>
  <si>
    <t xml:space="preserve">        "started": start["ts"],</t>
  </si>
  <si>
    <t xml:space="preserve">        "text_ai": ai_name(start.get("text_ai")),</t>
  </si>
  <si>
    <t xml:space="preserve">        "image_ai": ai_name(start.get("image_ai")),</t>
  </si>
  <si>
    <t xml:space="preserve">        "books": start["books"],</t>
  </si>
  <si>
    <t xml:space="preserve">        "books_done": end["books_done"] if end else "?",</t>
  </si>
  <si>
    <t xml:space="preserve">        "stopped": (end["stopped"] if end else "no run_end"),</t>
  </si>
  <si>
    <t xml:space="preserve">        "duration_s": round(end["seconds"], 1) if end else None,</t>
  </si>
  <si>
    <t xml:space="preserve">        "ai_seconds": round(sum(secs), 1),</t>
  </si>
  <si>
    <t xml:space="preserve">        "calls": len(calls),</t>
  </si>
  <si>
    <t xml:space="preserve">        "books_with_ai": len({c["book"] for c in calls}),</t>
  </si>
  <si>
    <t xml:space="preserve">        "calls_ok": outcomes.get("ok", 0),</t>
  </si>
  <si>
    <t xml:space="preserve">        "calls_failed": len(calls) - outcomes.get("ok", 0),</t>
  </si>
  <si>
    <t xml:space="preserve">        "failures": ", ".join(f"{k}={v}" for k, v in sorted(outcomes.items()) if k != "ok"),</t>
  </si>
  <si>
    <t xml:space="preserve">        "not_stop_finish": sum(1 for c in calls if c["outcome"] == "ok" and c.get("finish") not in (None, "stop")),</t>
  </si>
  <si>
    <t xml:space="preserve">        "min_s": round(min(secs), 2) if secs else None,</t>
  </si>
  <si>
    <t xml:space="preserve">        "median_s": round(statistics.median(secs), 2) if secs else None,</t>
  </si>
  <si>
    <t xml:space="preserve">        "mean_s": round(statistics.mean(secs), 2) if secs else None,</t>
  </si>
  <si>
    <t xml:space="preserve">        "p95_s": round(pct(secs, 0.95), 2) if secs else None,</t>
  </si>
  <si>
    <t xml:space="preserve">        "max_s": round(max(secs), 2) if secs else None,</t>
  </si>
  <si>
    <t xml:space="preserve">        "input_tokens": sum(c.get("input_tokens") or 0 for c in calls),</t>
  </si>
  <si>
    <t xml:space="preserve">        "output_tokens": sum(c.get("output_tokens") or 0 for c in calls),</t>
  </si>
  <si>
    <t xml:space="preserve">        "reasoning_tokens": sum(c.get("reasoning_tokens") or 0 for c in calls),</t>
  </si>
  <si>
    <t xml:space="preserve">    }</t>
  </si>
  <si>
    <t xml:space="preserve">def book_label(n: int, books: list[tuple[int, str]]) -&gt; str:</t>
  </si>
  <si>
    <t xml:space="preserve">    if 1 &lt;= n &lt;= len(books):</t>
  </si>
  <si>
    <t xml:space="preserve">        i, title = books[n - 1]</t>
  </si>
  <si>
    <t xml:space="preserve">        return f"#{i} {title[:60]}"</t>
  </si>
  <si>
    <t xml:space="preserve">    return f"book {n} (?)"</t>
  </si>
  <si>
    <t xml:space="preserve">def call_line(c: dict, books: list[tuple[int, str]]) -&gt; str:</t>
  </si>
  <si>
    <t xml:space="preserve">    extra = f", {c['images']} img" if c.get("images") else ""</t>
  </si>
  <si>
    <t xml:space="preserve">    tokens = f", {c.get('input_tokens')}-&gt;{c.get('output_tokens')} tok" if c.get("input_tokens") else ""</t>
  </si>
  <si>
    <t xml:space="preserve">    return (f"{c['seconds']:&gt;8.2f}s  {c['outcome']:&lt;8} {c.get('text_chars', 0):&gt;6} chars{extra}{tokens}  "</t>
  </si>
  <si>
    <t xml:space="preserve">            f"{book_label(c['book'], books)}")</t>
  </si>
  <si>
    <t xml:space="preserve">def main() -&gt; None:</t>
  </si>
  <si>
    <t xml:space="preserve">    last = 2</t>
  </si>
  <si>
    <t xml:space="preserve">    if "--last" in sys.argv:</t>
  </si>
  <si>
    <t xml:space="preserve">        last = int(sys.argv[sys.argv.index("--last") + 1])</t>
  </si>
  <si>
    <t xml:space="preserve">    books = library_books()</t>
  </si>
  <si>
    <t xml:space="preserve">    found = runs(events(), len(books))[-last:]</t>
  </si>
  <si>
    <t xml:space="preserve">    if not found:</t>
  </si>
  <si>
    <t xml:space="preserve">        sys.exit(f"No review run over {len(books)} books in {PERF}: analyze loc-test first.")</t>
  </si>
  <si>
    <t xml:space="preserve">    rows = []</t>
  </si>
  <si>
    <t xml:space="preserve">    for k, run in enumerate(found, 1):</t>
  </si>
  <si>
    <t xml:space="preserve">        s = summarize(run, books)</t>
  </si>
  <si>
    <t xml:space="preserve">        rows.append(s)</t>
  </si>
  <si>
    <t xml:space="preserve">        print(f"=== RUN {k}: {s['started']}  text={s['text_ai']}  image={s['image_ai']}")</t>
  </si>
  <si>
    <t xml:space="preserve">        dur = f"{s['duration_s']:.0f}s ({s['duration_s'] / 60:.1f} min)" if s["duration_s"] else "unknown (no run_end)"</t>
  </si>
  <si>
    <t xml:space="preserve">        print(f"  duration {dur}, books {s['books_done']}/{s['books']}, stopped={s['stopped']}")</t>
  </si>
  <si>
    <t xml:space="preserve">        print(f"  AI calls {s['calls']} on {s['books_with_ai']} books: ok {s['calls_ok']}, failed "</t>
  </si>
  <si>
    <t xml:space="preserve">              f"{s['calls_failed']}{' (' + s['failures'] + ')' if s['failures'] else ''}, AI time {s['ai_seconds']}s")</t>
  </si>
  <si>
    <t xml:space="preserve">        print(f"  per call: min {s['min_s']}s, median {s['median_s']}s, mean {s['mean_s']}s, "</t>
  </si>
  <si>
    <t xml:space="preserve">              f"p95 {s['p95_s']}s, max {s['max_s']}s")</t>
  </si>
  <si>
    <t xml:space="preserve">        print(f"  tokens: in {s['input_tokens']:,}, out {s['output_tokens']:,}, reasoning {s['reasoning_tokens']:,}")</t>
  </si>
  <si>
    <t xml:space="preserve">        by_time = sorted(run["calls"], key=lambda c: c["seconds"])</t>
  </si>
  <si>
    <t xml:space="preserve">        print(f"  slowest {TOP}:")</t>
  </si>
  <si>
    <t xml:space="preserve">        for c in by_time[::-1][:TOP]:</t>
  </si>
  <si>
    <t xml:space="preserve">            print("    " + call_line(c, books))</t>
  </si>
  <si>
    <t xml:space="preserve">        print(f"  fastest {TOP}:")</t>
  </si>
  <si>
    <t xml:space="preserve">        for c in by_time[:TOP]:</t>
  </si>
  <si>
    <t xml:space="preserve">        failed = [c for c in run["calls"] if c["outcome"] != "ok"]</t>
  </si>
  <si>
    <t xml:space="preserve">        if failed:</t>
  </si>
  <si>
    <t xml:space="preserve">            print("  failed calls:")</t>
  </si>
  <si>
    <t xml:space="preserve">            for c in failed:</t>
  </si>
  <si>
    <t xml:space="preserve">                print("    " + call_line(c, books) + (f"  HTTP {c['http_status']}" if c.get("http_status") else ""))</t>
  </si>
  <si>
    <t xml:space="preserve">        print()</t>
  </si>
  <si>
    <t xml:space="preserve">    if len(rows) &gt; 1:</t>
  </si>
  <si>
    <t xml:space="preserve">        print("=== SIDE BY SIDE")</t>
  </si>
  <si>
    <t xml:space="preserve">        keys = ["text_ai", "image_ai", "books_done", "duration_s", "ai_seconds", "calls", "calls_ok", "calls_failed",</t>
  </si>
  <si>
    <t xml:space="preserve">                "min_s", "median_s", "mean_s", "p95_s", "max_s", "input_tokens", "output_tokens", "reasoning_tokens"]</t>
  </si>
  <si>
    <t xml:space="preserve">        for key in keys:</t>
  </si>
  <si>
    <t xml:space="preserve">            print(f"  {key:&lt;17}" + "".join(f"{str(r[key]):&gt;28}" for r in rows))</t>
  </si>
  <si>
    <t xml:space="preserve">    with REPORT.open("w", newline="", encoding="utf-8-sig") as f:</t>
  </si>
  <si>
    <t xml:space="preserve">        w = csv.DictWriter(f, fieldnames=list(rows[0]))</t>
  </si>
  <si>
    <t xml:space="preserve">        w.writeheader()</t>
  </si>
  <si>
    <t xml:space="preserve">        w.writerows(rows)</t>
  </si>
  <si>
    <t xml:space="preserve">    print(f"\nPer-run CSV: {REPORT}")</t>
  </si>
  <si>
    <t xml:space="preserve">if __name__ == "__main__":</t>
  </si>
  <si>
    <t xml:space="preserve">    main()</t>
  </si>
</sst>
</file>

<file path=xl/styles.xml><?xml version="1.0" encoding="utf-8"?>
<styleSheet xmlns="http://schemas.openxmlformats.org/spreadsheetml/2006/main">
  <numFmts count="10">
    <numFmt numFmtId="164" formatCode="General"/>
    <numFmt numFmtId="165" formatCode="0.0"/>
    <numFmt numFmtId="166" formatCode="\+0.0%;\-0.0%;0.0%"/>
    <numFmt numFmtId="167" formatCode="0.00"/>
    <numFmt numFmtId="168" formatCode="#,##0"/>
    <numFmt numFmtId="169" formatCode="0.0%"/>
    <numFmt numFmtId="170" formatCode="#,##0;\-#,##0;0"/>
    <numFmt numFmtId="171" formatCode="0.0%;\-0.0%;0.0%"/>
    <numFmt numFmtId="172" formatCode="yyyy\-mm\-dd\ hh:mm:ss"/>
    <numFmt numFmtId="173"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2"/>
      <color rgb="FF1F3864"/>
      <name val="Arial"/>
      <family val="0"/>
      <charset val="1"/>
    </font>
    <font>
      <b val="true"/>
      <sz val="10"/>
      <color rgb="FFFFFFFF"/>
      <name val="Arial"/>
      <family val="0"/>
      <charset val="1"/>
    </font>
    <font>
      <sz val="10"/>
      <name val="Arial"/>
      <family val="0"/>
      <charset val="1"/>
    </font>
    <font>
      <i val="true"/>
      <sz val="8"/>
      <color rgb="FF595959"/>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
      <sz val="9"/>
      <color rgb="FF808080"/>
      <name val="Arial"/>
      <family val="0"/>
      <charset val="1"/>
    </font>
    <font>
      <sz val="9"/>
      <name val="Consolas"/>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DDEBF7"/>
      </patternFill>
    </fill>
    <fill>
      <patternFill patternType="solid">
        <fgColor rgb="FFDDEBF7"/>
        <bgColor rgb="FFF2F2F2"/>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false" applyProtection="false">
      <alignment horizontal="general" vertical="bottom" textRotation="0" wrapText="false" indent="0" shrinkToFit="false"/>
      <protection locked="true" hidden="false"/>
    </xf>
    <xf numFmtId="169" fontId="10" fillId="4" borderId="1" xfId="0" applyFont="true" applyBorder="true" applyAlignment="false" applyProtection="false">
      <alignment horizontal="general" vertical="bottom" textRotation="0" wrapText="false" indent="0" shrinkToFit="false"/>
      <protection locked="true" hidden="false"/>
    </xf>
    <xf numFmtId="171" fontId="10" fillId="4"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595959"/>
      <rgbColor rgb="FF878787"/>
      <rgbColor rgb="FF1F3864"/>
      <rgbColor rgb="FF70AD47"/>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run time vs time inside AI calls (min)</a:t>
            </a:r>
          </a:p>
        </c:rich>
      </c:tx>
      <c:overlay val="0"/>
      <c:spPr>
        <a:noFill/>
        <a:ln w="0">
          <a:noFill/>
        </a:ln>
      </c:spPr>
    </c:title>
    <c:autoTitleDeleted val="0"/>
    <c:plotArea>
      <c:barChart>
        <c:barDir val="col"/>
        <c:grouping val="clustered"/>
        <c:varyColors val="0"/>
        <c:ser>
          <c:idx val="0"/>
          <c:order val="0"/>
          <c:tx>
            <c:strRef>
              <c:f>Summary!$B$5</c:f>
              <c:strCache>
                <c:ptCount val="1"/>
                <c:pt idx="0">
                  <c:v>Ollama qwen3.5:4b</c:v>
                </c:pt>
              </c:strCache>
            </c:strRef>
          </c:tx>
          <c:spPr>
            <a:solidFill>
              <a:srgbClr val="2f5597"/>
            </a:solidFill>
            <a:ln w="0">
              <a:solidFill>
                <a:srgbClr val="2f5597"/>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Summary!$A$6:$A$7</c:f>
              <c:strCache>
                <c:ptCount val="2"/>
                <c:pt idx="0">
                  <c:v>Wall-clock duration (min)</c:v>
                </c:pt>
                <c:pt idx="1">
                  <c:v>Time spent in AI calls (min)</c:v>
                </c:pt>
              </c:strCache>
            </c:strRef>
          </c:cat>
          <c:val>
            <c:numRef>
              <c:f>Summary!$B$6:$B$7</c:f>
              <c:numCache>
                <c:formatCode>0.0</c:formatCode>
                <c:ptCount val="2"/>
                <c:pt idx="0">
                  <c:v>32.0216666666667</c:v>
                </c:pt>
                <c:pt idx="1">
                  <c:v>24.5483333333333</c:v>
                </c:pt>
              </c:numCache>
            </c:numRef>
          </c:val>
        </c:ser>
        <c:ser>
          <c:idx val="1"/>
          <c:order val="1"/>
          <c:tx>
            <c:strRef>
              <c:f>Summary!$C$5</c:f>
              <c:strCache>
                <c:ptCount val="1"/>
                <c:pt idx="0">
                  <c:v>Azure gpt-5.4-nano</c:v>
                </c:pt>
              </c:strCache>
            </c:strRef>
          </c:tx>
          <c:spPr>
            <a:solidFill>
              <a:srgbClr val="ed7d31"/>
            </a:solidFill>
            <a:ln w="0">
              <a:solidFill>
                <a:srgbClr val="ed7d31"/>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Summary!$A$6:$A$7</c:f>
              <c:strCache>
                <c:ptCount val="2"/>
                <c:pt idx="0">
                  <c:v>Wall-clock duration (min)</c:v>
                </c:pt>
                <c:pt idx="1">
                  <c:v>Time spent in AI calls (min)</c:v>
                </c:pt>
              </c:strCache>
            </c:strRef>
          </c:cat>
          <c:val>
            <c:numRef>
              <c:f>Summary!$C$6:$C$7</c:f>
              <c:numCache>
                <c:formatCode>0.0</c:formatCode>
                <c:ptCount val="2"/>
                <c:pt idx="0">
                  <c:v>32.6916666666667</c:v>
                </c:pt>
                <c:pt idx="1">
                  <c:v>26.2883333333333</c:v>
                </c:pt>
              </c:numCache>
            </c:numRef>
          </c:val>
        </c:ser>
        <c:gapWidth val="150"/>
        <c:overlap val="0"/>
        <c:axId val="91744252"/>
        <c:axId val="88225790"/>
      </c:barChart>
      <c:catAx>
        <c:axId val="917442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225790"/>
        <c:crosses val="autoZero"/>
        <c:auto val="1"/>
        <c:lblAlgn val="ctr"/>
        <c:lblOffset val="100"/>
        <c:noMultiLvlLbl val="0"/>
      </c:catAx>
      <c:valAx>
        <c:axId val="88225790"/>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minutes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74425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Time per AI call (seconds)</a:t>
            </a:r>
          </a:p>
        </c:rich>
      </c:tx>
      <c:overlay val="0"/>
      <c:spPr>
        <a:noFill/>
        <a:ln w="0">
          <a:noFill/>
        </a:ln>
      </c:spPr>
    </c:title>
    <c:autoTitleDeleted val="0"/>
    <c:plotArea>
      <c:barChart>
        <c:barDir val="col"/>
        <c:grouping val="clustered"/>
        <c:varyColors val="0"/>
        <c:ser>
          <c:idx val="0"/>
          <c:order val="0"/>
          <c:tx>
            <c:strRef>
              <c:f>Summary!$B$5</c:f>
              <c:strCache>
                <c:ptCount val="1"/>
                <c:pt idx="0">
                  <c:v>Ollama qwen3.5:4b</c:v>
                </c:pt>
              </c:strCache>
            </c:strRef>
          </c:tx>
          <c:spPr>
            <a:solidFill>
              <a:srgbClr val="2f5597"/>
            </a:solidFill>
            <a:ln w="0">
              <a:solidFill>
                <a:srgbClr val="2f5597"/>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Summary!$A$14:$A$18</c:f>
              <c:strCache>
                <c:ptCount val="5"/>
                <c:pt idx="0">
                  <c:v>Call time: min (s)</c:v>
                </c:pt>
                <c:pt idx="1">
                  <c:v>Call time: median (s)</c:v>
                </c:pt>
                <c:pt idx="2">
                  <c:v>Call time: mean (s)</c:v>
                </c:pt>
                <c:pt idx="3">
                  <c:v>Call time: p95 (s)</c:v>
                </c:pt>
                <c:pt idx="4">
                  <c:v>Call time: max (s)</c:v>
                </c:pt>
              </c:strCache>
            </c:strRef>
          </c:cat>
          <c:val>
            <c:numRef>
              <c:f>Summary!$B$14:$B$18</c:f>
              <c:numCache>
                <c:formatCode>0.00</c:formatCode>
                <c:ptCount val="5"/>
                <c:pt idx="0">
                  <c:v>1.4</c:v>
                </c:pt>
                <c:pt idx="1">
                  <c:v>2.81</c:v>
                </c:pt>
                <c:pt idx="2">
                  <c:v>2.82</c:v>
                </c:pt>
                <c:pt idx="3">
                  <c:v>3.29</c:v>
                </c:pt>
                <c:pt idx="4">
                  <c:v>8.15</c:v>
                </c:pt>
              </c:numCache>
            </c:numRef>
          </c:val>
        </c:ser>
        <c:ser>
          <c:idx val="1"/>
          <c:order val="1"/>
          <c:tx>
            <c:strRef>
              <c:f>Summary!$C$5</c:f>
              <c:strCache>
                <c:ptCount val="1"/>
                <c:pt idx="0">
                  <c:v>Azure gpt-5.4-nano</c:v>
                </c:pt>
              </c:strCache>
            </c:strRef>
          </c:tx>
          <c:spPr>
            <a:solidFill>
              <a:srgbClr val="ed7d31"/>
            </a:solidFill>
            <a:ln w="0">
              <a:solidFill>
                <a:srgbClr val="ed7d31"/>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Summary!$A$14:$A$18</c:f>
              <c:strCache>
                <c:ptCount val="5"/>
                <c:pt idx="0">
                  <c:v>Call time: min (s)</c:v>
                </c:pt>
                <c:pt idx="1">
                  <c:v>Call time: median (s)</c:v>
                </c:pt>
                <c:pt idx="2">
                  <c:v>Call time: mean (s)</c:v>
                </c:pt>
                <c:pt idx="3">
                  <c:v>Call time: p95 (s)</c:v>
                </c:pt>
                <c:pt idx="4">
                  <c:v>Call time: max (s)</c:v>
                </c:pt>
              </c:strCache>
            </c:strRef>
          </c:cat>
          <c:val>
            <c:numRef>
              <c:f>Summary!$C$14:$C$18</c:f>
              <c:numCache>
                <c:formatCode>0.00</c:formatCode>
                <c:ptCount val="5"/>
                <c:pt idx="0">
                  <c:v>1.65</c:v>
                </c:pt>
                <c:pt idx="1">
                  <c:v>2.82</c:v>
                </c:pt>
                <c:pt idx="2">
                  <c:v>2.9</c:v>
                </c:pt>
                <c:pt idx="3">
                  <c:v>3.58</c:v>
                </c:pt>
                <c:pt idx="4">
                  <c:v>4.06</c:v>
                </c:pt>
              </c:numCache>
            </c:numRef>
          </c:val>
        </c:ser>
        <c:gapWidth val="150"/>
        <c:overlap val="0"/>
        <c:axId val="51702399"/>
        <c:axId val="39805686"/>
      </c:barChart>
      <c:catAx>
        <c:axId val="517023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05686"/>
        <c:crosses val="autoZero"/>
        <c:auto val="1"/>
        <c:lblAlgn val="ctr"/>
        <c:lblOffset val="100"/>
        <c:noMultiLvlLbl val="0"/>
      </c:catAx>
      <c:valAx>
        <c:axId val="39805686"/>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7023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AI call outcomes</a:t>
            </a:r>
          </a:p>
        </c:rich>
      </c:tx>
      <c:overlay val="0"/>
      <c:spPr>
        <a:noFill/>
        <a:ln w="0">
          <a:noFill/>
        </a:ln>
      </c:spPr>
    </c:title>
    <c:autoTitleDeleted val="0"/>
    <c:plotArea>
      <c:barChart>
        <c:barDir val="col"/>
        <c:grouping val="stacked"/>
        <c:varyColors val="0"/>
        <c:ser>
          <c:idx val="0"/>
          <c:order val="0"/>
          <c:tx>
            <c:strRef>
              <c:f>Summary!A11</c:f>
              <c:strCache>
                <c:ptCount val="1"/>
                <c:pt idx="0">
                  <c:v>Successful calls</c:v>
                </c:pt>
              </c:strCache>
            </c:strRef>
          </c:tx>
          <c:spPr>
            <a:solidFill>
              <a:srgbClr val="70ad47"/>
            </a:solidFill>
            <a:ln w="0">
              <a:solidFill>
                <a:srgbClr val="70ad47"/>
              </a:solidFill>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Summary!$B$5:$C$5</c:f>
              <c:strCache>
                <c:ptCount val="2"/>
                <c:pt idx="0">
                  <c:v>Ollama qwen3.5:4b</c:v>
                </c:pt>
                <c:pt idx="1">
                  <c:v>Azure gpt-5.4-nano</c:v>
                </c:pt>
              </c:strCache>
            </c:strRef>
          </c:cat>
          <c:val>
            <c:numRef>
              <c:f>Summary!$B$11:$C$11</c:f>
              <c:numCache>
                <c:formatCode>#,##0</c:formatCode>
                <c:ptCount val="2"/>
                <c:pt idx="0">
                  <c:v>522</c:v>
                </c:pt>
                <c:pt idx="1">
                  <c:v>522</c:v>
                </c:pt>
              </c:numCache>
            </c:numRef>
          </c:val>
        </c:ser>
        <c:ser>
          <c:idx val="1"/>
          <c:order val="1"/>
          <c:tx>
            <c:strRef>
              <c:f>Summary!A12</c:f>
              <c:strCache>
                <c:ptCount val="1"/>
                <c:pt idx="0">
                  <c:v>Failed calls (content filter)</c:v>
                </c:pt>
              </c:strCache>
            </c:strRef>
          </c:tx>
          <c:spPr>
            <a:solidFill>
              <a:srgbClr val="c00000"/>
            </a:solidFill>
            <a:ln w="0">
              <a:solidFill>
                <a:srgbClr val="c00000"/>
              </a:solidFill>
            </a:ln>
          </c:spPr>
          <c:invertIfNegative val="0"/>
          <c:dLbls>
            <c:txPr>
              <a:bodyPr wrap="square"/>
              <a:lstStyle/>
              <a:p>
                <a:pPr>
                  <a:defRPr b="0" sz="1000" spc="-1" strike="noStrike">
                    <a:solidFill>
                      <a:srgbClr val="000000"/>
                    </a:solidFill>
                    <a:latin typeface="Calibri"/>
                  </a:defRPr>
                </a:pPr>
              </a:p>
            </c:txPr>
            <c:dLblPos val="ct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Summary!$B$5:$C$5</c:f>
              <c:strCache>
                <c:ptCount val="2"/>
                <c:pt idx="0">
                  <c:v>Ollama qwen3.5:4b</c:v>
                </c:pt>
                <c:pt idx="1">
                  <c:v>Azure gpt-5.4-nano</c:v>
                </c:pt>
              </c:strCache>
            </c:strRef>
          </c:cat>
          <c:val>
            <c:numRef>
              <c:f>Summary!$B$12:$C$12</c:f>
              <c:numCache>
                <c:formatCode>#,##0</c:formatCode>
                <c:ptCount val="2"/>
                <c:pt idx="0">
                  <c:v>0</c:v>
                </c:pt>
                <c:pt idx="1">
                  <c:v>21</c:v>
                </c:pt>
              </c:numCache>
            </c:numRef>
          </c:val>
        </c:ser>
        <c:gapWidth val="150"/>
        <c:overlap val="100"/>
        <c:axId val="58457359"/>
        <c:axId val="13387049"/>
      </c:barChart>
      <c:catAx>
        <c:axId val="584573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387049"/>
        <c:crosses val="autoZero"/>
        <c:auto val="1"/>
        <c:lblAlgn val="ctr"/>
        <c:lblOffset val="100"/>
        <c:noMultiLvlLbl val="0"/>
      </c:catAx>
      <c:valAx>
        <c:axId val="13387049"/>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calls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5735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Tokens used (log scale)</a:t>
            </a:r>
          </a:p>
        </c:rich>
      </c:tx>
      <c:overlay val="0"/>
      <c:spPr>
        <a:noFill/>
        <a:ln w="0">
          <a:noFill/>
        </a:ln>
      </c:spPr>
    </c:title>
    <c:autoTitleDeleted val="0"/>
    <c:plotArea>
      <c:barChart>
        <c:barDir val="col"/>
        <c:grouping val="clustered"/>
        <c:varyColors val="0"/>
        <c:ser>
          <c:idx val="0"/>
          <c:order val="0"/>
          <c:tx>
            <c:strRef>
              <c:f>Summary!$B$5</c:f>
              <c:strCache>
                <c:ptCount val="1"/>
                <c:pt idx="0">
                  <c:v>Ollama qwen3.5:4b</c:v>
                </c:pt>
              </c:strCache>
            </c:strRef>
          </c:tx>
          <c:spPr>
            <a:solidFill>
              <a:srgbClr val="2f5597"/>
            </a:solidFill>
            <a:ln w="0">
              <a:solidFill>
                <a:srgbClr val="2f5597"/>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Summary!$A$19:$A$20</c:f>
              <c:strCache>
                <c:ptCount val="2"/>
                <c:pt idx="0">
                  <c:v>Input tokens</c:v>
                </c:pt>
                <c:pt idx="1">
                  <c:v>Output tokens</c:v>
                </c:pt>
              </c:strCache>
            </c:strRef>
          </c:cat>
          <c:val>
            <c:numRef>
              <c:f>Summary!$B$19:$B$20</c:f>
              <c:numCache>
                <c:formatCode>#,##0</c:formatCode>
                <c:ptCount val="2"/>
                <c:pt idx="0">
                  <c:v>1837099</c:v>
                </c:pt>
                <c:pt idx="1">
                  <c:v>28132</c:v>
                </c:pt>
              </c:numCache>
            </c:numRef>
          </c:val>
        </c:ser>
        <c:ser>
          <c:idx val="1"/>
          <c:order val="1"/>
          <c:tx>
            <c:strRef>
              <c:f>Summary!$C$5</c:f>
              <c:strCache>
                <c:ptCount val="1"/>
                <c:pt idx="0">
                  <c:v>Azure gpt-5.4-nano</c:v>
                </c:pt>
              </c:strCache>
            </c:strRef>
          </c:tx>
          <c:spPr>
            <a:solidFill>
              <a:srgbClr val="ed7d31"/>
            </a:solidFill>
            <a:ln w="0">
              <a:solidFill>
                <a:srgbClr val="ed7d31"/>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Summary!$A$19:$A$20</c:f>
              <c:strCache>
                <c:ptCount val="2"/>
                <c:pt idx="0">
                  <c:v>Input tokens</c:v>
                </c:pt>
                <c:pt idx="1">
                  <c:v>Output tokens</c:v>
                </c:pt>
              </c:strCache>
            </c:strRef>
          </c:cat>
          <c:val>
            <c:numRef>
              <c:f>Summary!$C$19:$C$20</c:f>
              <c:numCache>
                <c:formatCode>#,##0</c:formatCode>
                <c:ptCount val="2"/>
                <c:pt idx="0">
                  <c:v>1748695</c:v>
                </c:pt>
                <c:pt idx="1">
                  <c:v>26745</c:v>
                </c:pt>
              </c:numCache>
            </c:numRef>
          </c:val>
        </c:ser>
        <c:gapWidth val="150"/>
        <c:overlap val="0"/>
        <c:axId val="52567897"/>
        <c:axId val="55349971"/>
      </c:barChart>
      <c:catAx>
        <c:axId val="525678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349971"/>
        <c:crosses val="autoZero"/>
        <c:auto val="1"/>
        <c:lblAlgn val="ctr"/>
        <c:lblOffset val="100"/>
        <c:noMultiLvlLbl val="0"/>
      </c:catAx>
      <c:valAx>
        <c:axId val="55349971"/>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tokens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5678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Outcome on the 65 injected errors</a:t>
            </a:r>
          </a:p>
        </c:rich>
      </c:tx>
      <c:overlay val="0"/>
      <c:spPr>
        <a:noFill/>
        <a:ln w="0">
          <a:noFill/>
        </a:ln>
      </c:spPr>
    </c:title>
    <c:autoTitleDeleted val="0"/>
    <c:plotArea>
      <c:barChart>
        <c:barDir val="bar"/>
        <c:grouping val="clustered"/>
        <c:varyColors val="0"/>
        <c:ser>
          <c:idx val="0"/>
          <c:order val="0"/>
          <c:tx>
            <c:strRef>
              <c:f>Summary!$B$27</c:f>
              <c:strCache>
                <c:ptCount val="1"/>
                <c:pt idx="0">
                  <c:v>Ollama qwen3.5:4b</c:v>
                </c:pt>
              </c:strCache>
            </c:strRef>
          </c:tx>
          <c:spPr>
            <a:solidFill>
              <a:srgbClr val="2f5597"/>
            </a:solidFill>
            <a:ln w="0">
              <a:solidFill>
                <a:srgbClr val="2f5597"/>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Summary!$A$28:$A$35</c:f>
              <c:strCache>
                <c:ptCount val="8"/>
                <c:pt idx="0">
                  <c:v>fixed</c:v>
                </c:pt>
                <c:pt idx="1">
                  <c:v>flagged, other value</c:v>
                </c:pt>
                <c:pt idx="2">
                  <c:v>ignored (by design)</c:v>
                </c:pt>
                <c:pt idx="3">
                  <c:v>metadata also wrong</c:v>
                </c:pt>
                <c:pt idx="4">
                  <c:v>ok, nothing proposed</c:v>
                </c:pt>
                <c:pt idx="5">
                  <c:v>correct, nothing proposed</c:v>
                </c:pt>
                <c:pt idx="6">
                  <c:v>FALSE ALARM</c:v>
                </c:pt>
                <c:pt idx="7">
                  <c:v>MISSED</c:v>
                </c:pt>
              </c:strCache>
            </c:strRef>
          </c:cat>
          <c:val>
            <c:numRef>
              <c:f>Summary!$B$28:$B$35</c:f>
              <c:numCache>
                <c:formatCode>#,##0;\-#,##0;0</c:formatCode>
                <c:ptCount val="8"/>
                <c:pt idx="0">
                  <c:v>23</c:v>
                </c:pt>
                <c:pt idx="1">
                  <c:v>8</c:v>
                </c:pt>
                <c:pt idx="2">
                  <c:v>11</c:v>
                </c:pt>
                <c:pt idx="3">
                  <c:v>10</c:v>
                </c:pt>
                <c:pt idx="4">
                  <c:v>6</c:v>
                </c:pt>
                <c:pt idx="5">
                  <c:v>1</c:v>
                </c:pt>
                <c:pt idx="6">
                  <c:v>4</c:v>
                </c:pt>
                <c:pt idx="7">
                  <c:v>2</c:v>
                </c:pt>
              </c:numCache>
            </c:numRef>
          </c:val>
        </c:ser>
        <c:ser>
          <c:idx val="1"/>
          <c:order val="1"/>
          <c:tx>
            <c:strRef>
              <c:f>Summary!$C$27</c:f>
              <c:strCache>
                <c:ptCount val="1"/>
                <c:pt idx="0">
                  <c:v>Azure gpt-5.4-nano</c:v>
                </c:pt>
              </c:strCache>
            </c:strRef>
          </c:tx>
          <c:spPr>
            <a:solidFill>
              <a:srgbClr val="ed7d31"/>
            </a:solidFill>
            <a:ln w="0">
              <a:solidFill>
                <a:srgbClr val="ed7d31"/>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Summary!$A$28:$A$35</c:f>
              <c:strCache>
                <c:ptCount val="8"/>
                <c:pt idx="0">
                  <c:v>fixed</c:v>
                </c:pt>
                <c:pt idx="1">
                  <c:v>flagged, other value</c:v>
                </c:pt>
                <c:pt idx="2">
                  <c:v>ignored (by design)</c:v>
                </c:pt>
                <c:pt idx="3">
                  <c:v>metadata also wrong</c:v>
                </c:pt>
                <c:pt idx="4">
                  <c:v>ok, nothing proposed</c:v>
                </c:pt>
                <c:pt idx="5">
                  <c:v>correct, nothing proposed</c:v>
                </c:pt>
                <c:pt idx="6">
                  <c:v>FALSE ALARM</c:v>
                </c:pt>
                <c:pt idx="7">
                  <c:v>MISSED</c:v>
                </c:pt>
              </c:strCache>
            </c:strRef>
          </c:cat>
          <c:val>
            <c:numRef>
              <c:f>Summary!$C$28:$C$35</c:f>
              <c:numCache>
                <c:formatCode>#,##0;\-#,##0;0</c:formatCode>
                <c:ptCount val="8"/>
                <c:pt idx="0">
                  <c:v>25</c:v>
                </c:pt>
                <c:pt idx="1">
                  <c:v>7</c:v>
                </c:pt>
                <c:pt idx="2">
                  <c:v>11</c:v>
                </c:pt>
                <c:pt idx="3">
                  <c:v>10</c:v>
                </c:pt>
                <c:pt idx="4">
                  <c:v>8</c:v>
                </c:pt>
                <c:pt idx="5">
                  <c:v>1</c:v>
                </c:pt>
                <c:pt idx="6">
                  <c:v>2</c:v>
                </c:pt>
                <c:pt idx="7">
                  <c:v>1</c:v>
                </c:pt>
              </c:numCache>
            </c:numRef>
          </c:val>
        </c:ser>
        <c:gapWidth val="150"/>
        <c:overlap val="0"/>
        <c:axId val="91218564"/>
        <c:axId val="64265276"/>
      </c:barChart>
      <c:catAx>
        <c:axId val="912185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65276"/>
        <c:crosses val="autoZero"/>
        <c:auto val="1"/>
        <c:lblAlgn val="ctr"/>
        <c:lblOffset val="100"/>
        <c:noMultiLvlLbl val="0"/>
      </c:catAx>
      <c:valAx>
        <c:axId val="64265276"/>
        <c:scaling>
          <c:orientation val="minMax"/>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rows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1856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Authors/title errors fixed (of 20 each)</a:t>
            </a:r>
          </a:p>
        </c:rich>
      </c:tx>
      <c:overlay val="0"/>
      <c:spPr>
        <a:noFill/>
        <a:ln w="0">
          <a:noFill/>
        </a:ln>
      </c:spPr>
    </c:title>
    <c:autoTitleDeleted val="0"/>
    <c:plotArea>
      <c:barChart>
        <c:barDir val="bar"/>
        <c:grouping val="clustered"/>
        <c:varyColors val="0"/>
        <c:ser>
          <c:idx val="0"/>
          <c:order val="0"/>
          <c:tx>
            <c:strRef>
              <c:f>Summary!$B$44</c:f>
              <c:strCache>
                <c:ptCount val="1"/>
                <c:pt idx="0">
                  <c:v>Ollama fixed</c:v>
                </c:pt>
              </c:strCache>
            </c:strRef>
          </c:tx>
          <c:spPr>
            <a:solidFill>
              <a:srgbClr val="2f5597"/>
            </a:solidFill>
            <a:ln w="0">
              <a:solidFill>
                <a:srgbClr val="2f5597"/>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Summary!$A$45:$A$46</c:f>
              <c:strCache>
                <c:ptCount val="2"/>
                <c:pt idx="0">
                  <c:v>authors</c:v>
                </c:pt>
                <c:pt idx="1">
                  <c:v>title</c:v>
                </c:pt>
              </c:strCache>
            </c:strRef>
          </c:cat>
          <c:val>
            <c:numRef>
              <c:f>Summary!$B$45:$B$46</c:f>
              <c:numCache>
                <c:formatCode>General</c:formatCode>
                <c:ptCount val="2"/>
                <c:pt idx="0">
                  <c:v>12</c:v>
                </c:pt>
                <c:pt idx="1">
                  <c:v>11</c:v>
                </c:pt>
              </c:numCache>
            </c:numRef>
          </c:val>
        </c:ser>
        <c:ser>
          <c:idx val="1"/>
          <c:order val="1"/>
          <c:tx>
            <c:strRef>
              <c:f>Summary!$C$44</c:f>
              <c:strCache>
                <c:ptCount val="1"/>
                <c:pt idx="0">
                  <c:v>Azure fixed</c:v>
                </c:pt>
              </c:strCache>
            </c:strRef>
          </c:tx>
          <c:spPr>
            <a:solidFill>
              <a:srgbClr val="ed7d31"/>
            </a:solidFill>
            <a:ln w="0">
              <a:solidFill>
                <a:srgbClr val="ed7d31"/>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Summary!$A$45:$A$46</c:f>
              <c:strCache>
                <c:ptCount val="2"/>
                <c:pt idx="0">
                  <c:v>authors</c:v>
                </c:pt>
                <c:pt idx="1">
                  <c:v>title</c:v>
                </c:pt>
              </c:strCache>
            </c:strRef>
          </c:cat>
          <c:val>
            <c:numRef>
              <c:f>Summary!$C$45:$C$46</c:f>
              <c:numCache>
                <c:formatCode>General</c:formatCode>
                <c:ptCount val="2"/>
                <c:pt idx="0">
                  <c:v>13</c:v>
                </c:pt>
                <c:pt idx="1">
                  <c:v>12</c:v>
                </c:pt>
              </c:numCache>
            </c:numRef>
          </c:val>
        </c:ser>
        <c:gapWidth val="150"/>
        <c:overlap val="0"/>
        <c:axId val="74935504"/>
        <c:axId val="23338387"/>
      </c:barChart>
      <c:catAx>
        <c:axId val="749355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338387"/>
        <c:crosses val="autoZero"/>
        <c:auto val="1"/>
        <c:lblAlgn val="ctr"/>
        <c:lblOffset val="100"/>
        <c:noMultiLvlLbl val="0"/>
      </c:catAx>
      <c:valAx>
        <c:axId val="23338387"/>
        <c:scaling>
          <c:orientation val="minMax"/>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rows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9355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Extra proposals on non-injected books</a:t>
            </a:r>
          </a:p>
        </c:rich>
      </c:tx>
      <c:overlay val="0"/>
      <c:spPr>
        <a:noFill/>
        <a:ln w="0">
          <a:noFill/>
        </a:ln>
      </c:spPr>
    </c:title>
    <c:autoTitleDeleted val="0"/>
    <c:plotArea>
      <c:barChart>
        <c:barDir val="bar"/>
        <c:grouping val="clustered"/>
        <c:varyColors val="0"/>
        <c:ser>
          <c:idx val="0"/>
          <c:order val="0"/>
          <c:tx>
            <c:strRef>
              <c:f>Summary!$B$50</c:f>
              <c:strCache>
                <c:ptCount val="1"/>
                <c:pt idx="0">
                  <c:v>Ollama qwen3.5:4b</c:v>
                </c:pt>
              </c:strCache>
            </c:strRef>
          </c:tx>
          <c:spPr>
            <a:solidFill>
              <a:srgbClr val="2f5597"/>
            </a:solidFill>
            <a:ln w="0">
              <a:solidFill>
                <a:srgbClr val="2f5597"/>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Summary!$A$51:$A$52</c:f>
              <c:strCache>
                <c:ptCount val="2"/>
                <c:pt idx="0">
                  <c:v>Books with a proposal</c:v>
                </c:pt>
                <c:pt idx="1">
                  <c:v>Books with no proposal</c:v>
                </c:pt>
              </c:strCache>
            </c:strRef>
          </c:cat>
          <c:val>
            <c:numRef>
              <c:f>Summary!$B$51:$B$52</c:f>
              <c:numCache>
                <c:formatCode>#,##0;\-#,##0;0</c:formatCode>
                <c:ptCount val="2"/>
                <c:pt idx="0">
                  <c:v>176</c:v>
                </c:pt>
                <c:pt idx="1">
                  <c:v>13</c:v>
                </c:pt>
              </c:numCache>
            </c:numRef>
          </c:val>
        </c:ser>
        <c:ser>
          <c:idx val="1"/>
          <c:order val="1"/>
          <c:tx>
            <c:strRef>
              <c:f>Summary!$C$50</c:f>
              <c:strCache>
                <c:ptCount val="1"/>
                <c:pt idx="0">
                  <c:v>Azure gpt-5.4-nano</c:v>
                </c:pt>
              </c:strCache>
            </c:strRef>
          </c:tx>
          <c:spPr>
            <a:solidFill>
              <a:srgbClr val="ed7d31"/>
            </a:solidFill>
            <a:ln w="0">
              <a:solidFill>
                <a:srgbClr val="ed7d31"/>
              </a:solid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Summary!$A$51:$A$52</c:f>
              <c:strCache>
                <c:ptCount val="2"/>
                <c:pt idx="0">
                  <c:v>Books with a proposal</c:v>
                </c:pt>
                <c:pt idx="1">
                  <c:v>Books with no proposal</c:v>
                </c:pt>
              </c:strCache>
            </c:strRef>
          </c:cat>
          <c:val>
            <c:numRef>
              <c:f>Summary!$C$51:$C$52</c:f>
              <c:numCache>
                <c:formatCode>#,##0;\-#,##0;0</c:formatCode>
                <c:ptCount val="2"/>
                <c:pt idx="0">
                  <c:v>122</c:v>
                </c:pt>
                <c:pt idx="1">
                  <c:v>67</c:v>
                </c:pt>
              </c:numCache>
            </c:numRef>
          </c:val>
        </c:ser>
        <c:gapWidth val="150"/>
        <c:overlap val="0"/>
        <c:axId val="46200283"/>
        <c:axId val="27432936"/>
      </c:barChart>
      <c:catAx>
        <c:axId val="4620028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432936"/>
        <c:crosses val="autoZero"/>
        <c:auto val="1"/>
        <c:lblAlgn val="ctr"/>
        <c:lblOffset val="100"/>
        <c:noMultiLvlLbl val="0"/>
      </c:catAx>
      <c:valAx>
        <c:axId val="27432936"/>
        <c:scaling>
          <c:orientation val="minMax"/>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rows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2002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131040</xdr:rowOff>
    </xdr:from>
    <xdr:to>
      <xdr:col>13</xdr:col>
      <xdr:colOff>363600</xdr:colOff>
      <xdr:row>16</xdr:row>
      <xdr:rowOff>37800</xdr:rowOff>
    </xdr:to>
    <xdr:graphicFrame>
      <xdr:nvGraphicFramePr>
        <xdr:cNvPr id="0" name="Chart 1"/>
        <xdr:cNvGraphicFramePr/>
      </xdr:nvGraphicFramePr>
      <xdr:xfrm>
        <a:off x="7542000" y="571680"/>
        <a:ext cx="5255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131040</xdr:rowOff>
    </xdr:from>
    <xdr:to>
      <xdr:col>21</xdr:col>
      <xdr:colOff>363600</xdr:colOff>
      <xdr:row>16</xdr:row>
      <xdr:rowOff>37800</xdr:rowOff>
    </xdr:to>
    <xdr:graphicFrame>
      <xdr:nvGraphicFramePr>
        <xdr:cNvPr id="1" name="Chart 2"/>
        <xdr:cNvGraphicFramePr/>
      </xdr:nvGraphicFramePr>
      <xdr:xfrm>
        <a:off x="12434040" y="571680"/>
        <a:ext cx="5255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19</xdr:row>
      <xdr:rowOff>130680</xdr:rowOff>
    </xdr:from>
    <xdr:to>
      <xdr:col>13</xdr:col>
      <xdr:colOff>363600</xdr:colOff>
      <xdr:row>34</xdr:row>
      <xdr:rowOff>9000</xdr:rowOff>
    </xdr:to>
    <xdr:graphicFrame>
      <xdr:nvGraphicFramePr>
        <xdr:cNvPr id="2" name="Chart 3"/>
        <xdr:cNvGraphicFramePr/>
      </xdr:nvGraphicFramePr>
      <xdr:xfrm>
        <a:off x="7542000" y="3971880"/>
        <a:ext cx="5255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19</xdr:row>
      <xdr:rowOff>130680</xdr:rowOff>
    </xdr:from>
    <xdr:to>
      <xdr:col>21</xdr:col>
      <xdr:colOff>363600</xdr:colOff>
      <xdr:row>34</xdr:row>
      <xdr:rowOff>9000</xdr:rowOff>
    </xdr:to>
    <xdr:graphicFrame>
      <xdr:nvGraphicFramePr>
        <xdr:cNvPr id="3" name="Chart 4"/>
        <xdr:cNvGraphicFramePr/>
      </xdr:nvGraphicFramePr>
      <xdr:xfrm>
        <a:off x="12434040" y="3971880"/>
        <a:ext cx="5255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36</xdr:row>
      <xdr:rowOff>130680</xdr:rowOff>
    </xdr:from>
    <xdr:to>
      <xdr:col>13</xdr:col>
      <xdr:colOff>363600</xdr:colOff>
      <xdr:row>54</xdr:row>
      <xdr:rowOff>121320</xdr:rowOff>
    </xdr:to>
    <xdr:graphicFrame>
      <xdr:nvGraphicFramePr>
        <xdr:cNvPr id="4" name="Chart 5"/>
        <xdr:cNvGraphicFramePr/>
      </xdr:nvGraphicFramePr>
      <xdr:xfrm>
        <a:off x="7542000" y="7210440"/>
        <a:ext cx="5255640" cy="341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36</xdr:row>
      <xdr:rowOff>130680</xdr:rowOff>
    </xdr:from>
    <xdr:to>
      <xdr:col>21</xdr:col>
      <xdr:colOff>363600</xdr:colOff>
      <xdr:row>54</xdr:row>
      <xdr:rowOff>121320</xdr:rowOff>
    </xdr:to>
    <xdr:graphicFrame>
      <xdr:nvGraphicFramePr>
        <xdr:cNvPr id="5" name="Chart 6"/>
        <xdr:cNvGraphicFramePr/>
      </xdr:nvGraphicFramePr>
      <xdr:xfrm>
        <a:off x="12434040" y="7210440"/>
        <a:ext cx="5255640" cy="34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0</xdr:colOff>
      <xdr:row>56</xdr:row>
      <xdr:rowOff>130680</xdr:rowOff>
    </xdr:from>
    <xdr:to>
      <xdr:col>13</xdr:col>
      <xdr:colOff>363600</xdr:colOff>
      <xdr:row>74</xdr:row>
      <xdr:rowOff>121320</xdr:rowOff>
    </xdr:to>
    <xdr:graphicFrame>
      <xdr:nvGraphicFramePr>
        <xdr:cNvPr id="6" name="Chart 7"/>
        <xdr:cNvGraphicFramePr/>
      </xdr:nvGraphicFramePr>
      <xdr:xfrm>
        <a:off x="7542000" y="11020320"/>
        <a:ext cx="5255640" cy="341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0"/>
    <col collapsed="false" customWidth="true" hidden="false" outlineLevel="0" max="5" min="5" style="0" width="3"/>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7.75" hidden="false" customHeight="true" outlineLevel="0" collapsed="false">
      <c r="A5" s="4" t="s">
        <v>3</v>
      </c>
      <c r="B5" s="4" t="s">
        <v>4</v>
      </c>
      <c r="C5" s="4" t="s">
        <v>5</v>
      </c>
      <c r="D5" s="4" t="s">
        <v>6</v>
      </c>
    </row>
    <row r="6" customFormat="false" ht="15" hidden="false" customHeight="false" outlineLevel="0" collapsed="false">
      <c r="A6" s="5" t="s">
        <v>7</v>
      </c>
      <c r="B6" s="6" t="n">
        <f aca="false">'Run Metrics'!G2/60</f>
        <v>32.0216666666667</v>
      </c>
      <c r="C6" s="6" t="n">
        <f aca="false">'Run Metrics'!G3/60</f>
        <v>32.6916666666667</v>
      </c>
      <c r="D6" s="7" t="n">
        <f aca="false">IFERROR(C6/B6-1,"n/a")</f>
        <v>0.0209233331598397</v>
      </c>
    </row>
    <row r="7" customFormat="false" ht="15" hidden="false" customHeight="false" outlineLevel="0" collapsed="false">
      <c r="A7" s="8" t="s">
        <v>8</v>
      </c>
      <c r="B7" s="9" t="n">
        <f aca="false">'Run Metrics'!H2/60</f>
        <v>24.5483333333333</v>
      </c>
      <c r="C7" s="9" t="n">
        <f aca="false">'Run Metrics'!H3/60</f>
        <v>26.2883333333333</v>
      </c>
      <c r="D7" s="10" t="n">
        <f aca="false">IFERROR(C7/B7-1,"n/a")</f>
        <v>0.0708805757349447</v>
      </c>
    </row>
    <row r="8" customFormat="false" ht="15" hidden="false" customHeight="false" outlineLevel="0" collapsed="false">
      <c r="A8" s="5" t="s">
        <v>9</v>
      </c>
      <c r="B8" s="6" t="n">
        <f aca="false">('Run Metrics'!G2-'Run Metrics'!H2)/60</f>
        <v>7.47333333333333</v>
      </c>
      <c r="C8" s="6" t="n">
        <f aca="false">('Run Metrics'!G3-'Run Metrics'!H3)/60</f>
        <v>6.40333333333333</v>
      </c>
      <c r="D8" s="7" t="n">
        <f aca="false">IFERROR(C8/B8-1,"n/a")</f>
        <v>-0.143175735950044</v>
      </c>
    </row>
    <row r="9" customFormat="false" ht="15" hidden="false" customHeight="false" outlineLevel="0" collapsed="false">
      <c r="A9" s="8" t="s">
        <v>10</v>
      </c>
      <c r="B9" s="11" t="n">
        <f aca="false">'Run Metrics'!E2/('Run Metrics'!G2/60)</f>
        <v>16.3014625513975</v>
      </c>
      <c r="C9" s="11" t="n">
        <f aca="false">'Run Metrics'!E3/('Run Metrics'!G3/60)</f>
        <v>15.9673719092531</v>
      </c>
      <c r="D9" s="10" t="n">
        <f aca="false">IFERROR(C9/B9-1,"n/a")</f>
        <v>-0.0204945195003825</v>
      </c>
    </row>
    <row r="10" customFormat="false" ht="15" hidden="false" customHeight="false" outlineLevel="0" collapsed="false">
      <c r="A10" s="5" t="s">
        <v>11</v>
      </c>
      <c r="B10" s="12" t="n">
        <f aca="false">'Run Metrics'!I2</f>
        <v>522</v>
      </c>
      <c r="C10" s="12" t="n">
        <f aca="false">'Run Metrics'!I3</f>
        <v>543</v>
      </c>
      <c r="D10" s="7" t="n">
        <f aca="false">IFERROR(C10/B10-1,"n/a")</f>
        <v>0.0402298850574712</v>
      </c>
    </row>
    <row r="11" customFormat="false" ht="15" hidden="false" customHeight="false" outlineLevel="0" collapsed="false">
      <c r="A11" s="8" t="s">
        <v>12</v>
      </c>
      <c r="B11" s="13" t="n">
        <f aca="false">'Run Metrics'!K2</f>
        <v>522</v>
      </c>
      <c r="C11" s="13" t="n">
        <f aca="false">'Run Metrics'!K3</f>
        <v>522</v>
      </c>
      <c r="D11" s="10" t="n">
        <f aca="false">IFERROR(C11/B11-1,"n/a")</f>
        <v>0</v>
      </c>
    </row>
    <row r="12" customFormat="false" ht="15" hidden="false" customHeight="false" outlineLevel="0" collapsed="false">
      <c r="A12" s="5" t="s">
        <v>13</v>
      </c>
      <c r="B12" s="12" t="n">
        <f aca="false">'Run Metrics'!L2</f>
        <v>0</v>
      </c>
      <c r="C12" s="12" t="n">
        <f aca="false">'Run Metrics'!L3</f>
        <v>21</v>
      </c>
      <c r="D12" s="7" t="s">
        <v>14</v>
      </c>
    </row>
    <row r="13" customFormat="false" ht="15" hidden="false" customHeight="false" outlineLevel="0" collapsed="false">
      <c r="A13" s="8" t="s">
        <v>15</v>
      </c>
      <c r="B13" s="14" t="n">
        <f aca="false">'Run Metrics'!L2/'Run Metrics'!I2</f>
        <v>0</v>
      </c>
      <c r="C13" s="14" t="n">
        <f aca="false">'Run Metrics'!L3/'Run Metrics'!I3</f>
        <v>0.0386740331491713</v>
      </c>
      <c r="D13" s="10" t="s">
        <v>14</v>
      </c>
    </row>
    <row r="14" customFormat="false" ht="15" hidden="false" customHeight="false" outlineLevel="0" collapsed="false">
      <c r="A14" s="5" t="s">
        <v>16</v>
      </c>
      <c r="B14" s="15" t="n">
        <f aca="false">'Run Metrics'!O2</f>
        <v>1.4</v>
      </c>
      <c r="C14" s="15" t="n">
        <f aca="false">'Run Metrics'!O3</f>
        <v>1.65</v>
      </c>
      <c r="D14" s="7" t="n">
        <f aca="false">IFERROR(C14/B14-1,"n/a")</f>
        <v>0.178571428571429</v>
      </c>
    </row>
    <row r="15" customFormat="false" ht="15" hidden="false" customHeight="false" outlineLevel="0" collapsed="false">
      <c r="A15" s="8" t="s">
        <v>17</v>
      </c>
      <c r="B15" s="11" t="n">
        <f aca="false">'Run Metrics'!P2</f>
        <v>2.81</v>
      </c>
      <c r="C15" s="11" t="n">
        <f aca="false">'Run Metrics'!P3</f>
        <v>2.82</v>
      </c>
      <c r="D15" s="10" t="n">
        <f aca="false">IFERROR(C15/B15-1,"n/a")</f>
        <v>0.00355871886120984</v>
      </c>
    </row>
    <row r="16" customFormat="false" ht="15" hidden="false" customHeight="false" outlineLevel="0" collapsed="false">
      <c r="A16" s="5" t="s">
        <v>18</v>
      </c>
      <c r="B16" s="15" t="n">
        <f aca="false">'Run Metrics'!Q2</f>
        <v>2.82</v>
      </c>
      <c r="C16" s="15" t="n">
        <f aca="false">'Run Metrics'!Q3</f>
        <v>2.9</v>
      </c>
      <c r="D16" s="7" t="n">
        <f aca="false">IFERROR(C16/B16-1,"n/a")</f>
        <v>0.0283687943262412</v>
      </c>
    </row>
    <row r="17" customFormat="false" ht="15" hidden="false" customHeight="false" outlineLevel="0" collapsed="false">
      <c r="A17" s="8" t="s">
        <v>19</v>
      </c>
      <c r="B17" s="11" t="n">
        <f aca="false">'Run Metrics'!R2</f>
        <v>3.29</v>
      </c>
      <c r="C17" s="11" t="n">
        <f aca="false">'Run Metrics'!R3</f>
        <v>3.58</v>
      </c>
      <c r="D17" s="10" t="n">
        <f aca="false">IFERROR(C17/B17-1,"n/a")</f>
        <v>0.0881458966565349</v>
      </c>
    </row>
    <row r="18" customFormat="false" ht="15" hidden="false" customHeight="false" outlineLevel="0" collapsed="false">
      <c r="A18" s="5" t="s">
        <v>20</v>
      </c>
      <c r="B18" s="15" t="n">
        <f aca="false">'Run Metrics'!S2</f>
        <v>8.15</v>
      </c>
      <c r="C18" s="15" t="n">
        <f aca="false">'Run Metrics'!S3</f>
        <v>4.06</v>
      </c>
      <c r="D18" s="7" t="n">
        <f aca="false">IFERROR(C18/B18-1,"n/a")</f>
        <v>-0.501840490797546</v>
      </c>
    </row>
    <row r="19" customFormat="false" ht="15" hidden="false" customHeight="false" outlineLevel="0" collapsed="false">
      <c r="A19" s="8" t="s">
        <v>21</v>
      </c>
      <c r="B19" s="13" t="n">
        <f aca="false">'Run Metrics'!T2</f>
        <v>1837099</v>
      </c>
      <c r="C19" s="13" t="n">
        <f aca="false">'Run Metrics'!T3</f>
        <v>1748695</v>
      </c>
      <c r="D19" s="10" t="n">
        <f aca="false">IFERROR(C19/B19-1,"n/a")</f>
        <v>-0.0481215220301138</v>
      </c>
    </row>
    <row r="20" customFormat="false" ht="15" hidden="false" customHeight="false" outlineLevel="0" collapsed="false">
      <c r="A20" s="5" t="s">
        <v>22</v>
      </c>
      <c r="B20" s="12" t="n">
        <f aca="false">'Run Metrics'!U2</f>
        <v>28132</v>
      </c>
      <c r="C20" s="12" t="n">
        <f aca="false">'Run Metrics'!U3</f>
        <v>26745</v>
      </c>
      <c r="D20" s="7" t="n">
        <f aca="false">IFERROR(C20/B20-1,"n/a")</f>
        <v>-0.0493032845158539</v>
      </c>
    </row>
    <row r="21" customFormat="false" ht="15" hidden="false" customHeight="false" outlineLevel="0" collapsed="false">
      <c r="A21" s="8" t="s">
        <v>23</v>
      </c>
      <c r="B21" s="13" t="n">
        <f aca="false">'Run Metrics'!T2+'Run Metrics'!U2+'Run Metrics'!V2</f>
        <v>1865231</v>
      </c>
      <c r="C21" s="13" t="n">
        <f aca="false">'Run Metrics'!T3+'Run Metrics'!U3+'Run Metrics'!V3</f>
        <v>1775440</v>
      </c>
      <c r="D21" s="10" t="n">
        <f aca="false">IFERROR(C21/B21-1,"n/a")</f>
        <v>-0.048139345743235</v>
      </c>
    </row>
    <row r="22" customFormat="false" ht="15" hidden="false" customHeight="false" outlineLevel="0" collapsed="false">
      <c r="A22" s="5" t="s">
        <v>24</v>
      </c>
      <c r="B22" s="12" t="n">
        <f aca="false">'Run Metrics'!V2</f>
        <v>0</v>
      </c>
      <c r="C22" s="12" t="n">
        <f aca="false">'Run Metrics'!V3</f>
        <v>0</v>
      </c>
      <c r="D22" s="7" t="s">
        <v>14</v>
      </c>
    </row>
    <row r="23" customFormat="false" ht="15" hidden="false" customHeight="false" outlineLevel="0" collapsed="false">
      <c r="A23" s="16" t="s">
        <v>25</v>
      </c>
    </row>
    <row r="26" customFormat="false" ht="15" hidden="false" customHeight="false" outlineLevel="0" collapsed="false">
      <c r="A26" s="3" t="s">
        <v>26</v>
      </c>
    </row>
    <row r="27" customFormat="false" ht="15" hidden="false" customHeight="false" outlineLevel="0" collapsed="false">
      <c r="A27" s="4" t="s">
        <v>27</v>
      </c>
      <c r="B27" s="4" t="s">
        <v>4</v>
      </c>
      <c r="C27" s="4" t="s">
        <v>5</v>
      </c>
      <c r="D27" s="4" t="s">
        <v>28</v>
      </c>
    </row>
    <row r="28" customFormat="false" ht="15" hidden="false" customHeight="false" outlineLevel="0" collapsed="false">
      <c r="A28" s="5" t="s">
        <v>29</v>
      </c>
      <c r="B28" s="17" t="n">
        <f aca="false">COUNTIFS('Compare Models'!$B$2:$B$255,"&lt;&gt;other",'Compare Models'!$F$2:$F$255,$A28)</f>
        <v>23</v>
      </c>
      <c r="C28" s="17" t="n">
        <f aca="false">COUNTIFS('Compare Models'!$B$2:$B$255,"&lt;&gt;other",'Compare Models'!$H$2:$H$255,$A28)</f>
        <v>25</v>
      </c>
      <c r="D28" s="17" t="n">
        <f aca="false">C28-B28</f>
        <v>2</v>
      </c>
    </row>
    <row r="29" customFormat="false" ht="15" hidden="false" customHeight="false" outlineLevel="0" collapsed="false">
      <c r="A29" s="8" t="s">
        <v>30</v>
      </c>
      <c r="B29" s="18" t="n">
        <f aca="false">COUNTIFS('Compare Models'!$B$2:$B$255,"&lt;&gt;other",'Compare Models'!$F$2:$F$255,$A29)</f>
        <v>8</v>
      </c>
      <c r="C29" s="18" t="n">
        <f aca="false">COUNTIFS('Compare Models'!$B$2:$B$255,"&lt;&gt;other",'Compare Models'!$H$2:$H$255,$A29)</f>
        <v>7</v>
      </c>
      <c r="D29" s="18" t="n">
        <f aca="false">C29-B29</f>
        <v>-1</v>
      </c>
    </row>
    <row r="30" customFormat="false" ht="15" hidden="false" customHeight="false" outlineLevel="0" collapsed="false">
      <c r="A30" s="5" t="s">
        <v>31</v>
      </c>
      <c r="B30" s="17" t="n">
        <f aca="false">COUNTIFS('Compare Models'!$B$2:$B$255,"&lt;&gt;other",'Compare Models'!$F$2:$F$255,$A30)</f>
        <v>11</v>
      </c>
      <c r="C30" s="17" t="n">
        <f aca="false">COUNTIFS('Compare Models'!$B$2:$B$255,"&lt;&gt;other",'Compare Models'!$H$2:$H$255,$A30)</f>
        <v>11</v>
      </c>
      <c r="D30" s="17" t="n">
        <f aca="false">C30-B30</f>
        <v>0</v>
      </c>
    </row>
    <row r="31" customFormat="false" ht="15" hidden="false" customHeight="false" outlineLevel="0" collapsed="false">
      <c r="A31" s="8" t="s">
        <v>32</v>
      </c>
      <c r="B31" s="18" t="n">
        <f aca="false">COUNTIFS('Compare Models'!$B$2:$B$255,"&lt;&gt;other",'Compare Models'!$F$2:$F$255,$A31)</f>
        <v>10</v>
      </c>
      <c r="C31" s="18" t="n">
        <f aca="false">COUNTIFS('Compare Models'!$B$2:$B$255,"&lt;&gt;other",'Compare Models'!$H$2:$H$255,$A31)</f>
        <v>10</v>
      </c>
      <c r="D31" s="18" t="n">
        <f aca="false">C31-B31</f>
        <v>0</v>
      </c>
    </row>
    <row r="32" customFormat="false" ht="15" hidden="false" customHeight="false" outlineLevel="0" collapsed="false">
      <c r="A32" s="5" t="s">
        <v>33</v>
      </c>
      <c r="B32" s="17" t="n">
        <f aca="false">COUNTIFS('Compare Models'!$B$2:$B$255,"&lt;&gt;other",'Compare Models'!$F$2:$F$255,$A32)</f>
        <v>6</v>
      </c>
      <c r="C32" s="17" t="n">
        <f aca="false">COUNTIFS('Compare Models'!$B$2:$B$255,"&lt;&gt;other",'Compare Models'!$H$2:$H$255,$A32)</f>
        <v>8</v>
      </c>
      <c r="D32" s="17" t="n">
        <f aca="false">C32-B32</f>
        <v>2</v>
      </c>
    </row>
    <row r="33" customFormat="false" ht="15" hidden="false" customHeight="false" outlineLevel="0" collapsed="false">
      <c r="A33" s="8" t="s">
        <v>34</v>
      </c>
      <c r="B33" s="18" t="n">
        <f aca="false">COUNTIFS('Compare Models'!$B$2:$B$255,"&lt;&gt;other",'Compare Models'!$F$2:$F$255,$A33)</f>
        <v>1</v>
      </c>
      <c r="C33" s="18" t="n">
        <f aca="false">COUNTIFS('Compare Models'!$B$2:$B$255,"&lt;&gt;other",'Compare Models'!$H$2:$H$255,$A33)</f>
        <v>1</v>
      </c>
      <c r="D33" s="18" t="n">
        <f aca="false">C33-B33</f>
        <v>0</v>
      </c>
    </row>
    <row r="34" customFormat="false" ht="15" hidden="false" customHeight="false" outlineLevel="0" collapsed="false">
      <c r="A34" s="5" t="s">
        <v>35</v>
      </c>
      <c r="B34" s="17" t="n">
        <f aca="false">COUNTIFS('Compare Models'!$B$2:$B$255,"&lt;&gt;other",'Compare Models'!$F$2:$F$255,$A34)</f>
        <v>4</v>
      </c>
      <c r="C34" s="17" t="n">
        <f aca="false">COUNTIFS('Compare Models'!$B$2:$B$255,"&lt;&gt;other",'Compare Models'!$H$2:$H$255,$A34)</f>
        <v>2</v>
      </c>
      <c r="D34" s="17" t="n">
        <f aca="false">C34-B34</f>
        <v>-2</v>
      </c>
    </row>
    <row r="35" customFormat="false" ht="15" hidden="false" customHeight="false" outlineLevel="0" collapsed="false">
      <c r="A35" s="8" t="s">
        <v>36</v>
      </c>
      <c r="B35" s="18" t="n">
        <f aca="false">COUNTIFS('Compare Models'!$B$2:$B$255,"&lt;&gt;other",'Compare Models'!$F$2:$F$255,$A35)</f>
        <v>2</v>
      </c>
      <c r="C35" s="18" t="n">
        <f aca="false">COUNTIFS('Compare Models'!$B$2:$B$255,"&lt;&gt;other",'Compare Models'!$H$2:$H$255,$A35)</f>
        <v>1</v>
      </c>
      <c r="D35" s="18" t="n">
        <f aca="false">C35-B35</f>
        <v>-1</v>
      </c>
    </row>
    <row r="36" customFormat="false" ht="15" hidden="false" customHeight="false" outlineLevel="0" collapsed="false">
      <c r="A36" s="19" t="s">
        <v>37</v>
      </c>
      <c r="B36" s="20" t="n">
        <f aca="false">SUM(B28:B35)</f>
        <v>65</v>
      </c>
      <c r="C36" s="20" t="n">
        <f aca="false">SUM(C28:C35)</f>
        <v>65</v>
      </c>
      <c r="D36" s="21" t="n">
        <f aca="false">C36-B36</f>
        <v>0</v>
      </c>
    </row>
    <row r="37" customFormat="false" ht="15" hidden="false" customHeight="false" outlineLevel="0" collapsed="false">
      <c r="A37" s="19" t="s">
        <v>38</v>
      </c>
      <c r="B37" s="20" t="n">
        <f aca="false">B34+B35</f>
        <v>6</v>
      </c>
      <c r="C37" s="20" t="n">
        <f aca="false">C34+C35</f>
        <v>3</v>
      </c>
      <c r="D37" s="21" t="n">
        <f aca="false">C37-B37</f>
        <v>-3</v>
      </c>
    </row>
    <row r="38" customFormat="false" ht="15" hidden="false" customHeight="false" outlineLevel="0" collapsed="false">
      <c r="A38" s="19" t="s">
        <v>39</v>
      </c>
      <c r="B38" s="22" t="n">
        <f aca="false">B37/B36</f>
        <v>0.0923076923076923</v>
      </c>
      <c r="C38" s="22" t="n">
        <f aca="false">C37/C36</f>
        <v>0.0461538461538462</v>
      </c>
      <c r="D38" s="23" t="n">
        <f aca="false">C38-B38</f>
        <v>-0.0461538461538462</v>
      </c>
    </row>
    <row r="39" customFormat="false" ht="15" hidden="false" customHeight="false" outlineLevel="0" collapsed="false">
      <c r="A39" s="19" t="s">
        <v>40</v>
      </c>
      <c r="B39" s="20" t="n">
        <f aca="false">B29</f>
        <v>8</v>
      </c>
      <c r="C39" s="20" t="n">
        <f aca="false">C29</f>
        <v>7</v>
      </c>
      <c r="D39" s="21" t="n">
        <f aca="false">C39-B39</f>
        <v>-1</v>
      </c>
    </row>
    <row r="40" customFormat="false" ht="15" hidden="false" customHeight="false" outlineLevel="0" collapsed="false">
      <c r="A40" s="16" t="s">
        <v>41</v>
      </c>
    </row>
    <row r="43" customFormat="false" ht="15" hidden="false" customHeight="false" outlineLevel="0" collapsed="false">
      <c r="A43" s="3" t="s">
        <v>42</v>
      </c>
    </row>
    <row r="44" customFormat="false" ht="15" hidden="false" customHeight="false" outlineLevel="0" collapsed="false">
      <c r="A44" s="4" t="s">
        <v>43</v>
      </c>
      <c r="B44" s="4" t="s">
        <v>44</v>
      </c>
      <c r="C44" s="4" t="s">
        <v>45</v>
      </c>
      <c r="D44" s="4" t="s">
        <v>46</v>
      </c>
    </row>
    <row r="45" customFormat="false" ht="15" hidden="false" customHeight="false" outlineLevel="0" collapsed="false">
      <c r="A45" s="5" t="s">
        <v>47</v>
      </c>
      <c r="B45" s="5" t="n">
        <f aca="false">COUNTIFS('Compare Models'!$B$2:$B$255,$A45,'Compare Models'!$F$2:$F$255,"fixed")</f>
        <v>12</v>
      </c>
      <c r="C45" s="5" t="n">
        <f aca="false">COUNTIFS('Compare Models'!$B$2:$B$255,$A45,'Compare Models'!$H$2:$H$255,"fixed")</f>
        <v>13</v>
      </c>
      <c r="D45" s="5" t="n">
        <f aca="false">COUNTIFS('Compare Models'!$B$2:$B$255,$A45)</f>
        <v>20</v>
      </c>
    </row>
    <row r="46" customFormat="false" ht="15" hidden="false" customHeight="false" outlineLevel="0" collapsed="false">
      <c r="A46" s="5" t="s">
        <v>48</v>
      </c>
      <c r="B46" s="5" t="n">
        <f aca="false">COUNTIFS('Compare Models'!$B$2:$B$255,$A46,'Compare Models'!$F$2:$F$255,"fixed")</f>
        <v>11</v>
      </c>
      <c r="C46" s="5" t="n">
        <f aca="false">COUNTIFS('Compare Models'!$B$2:$B$255,$A46,'Compare Models'!$H$2:$H$255,"fixed")</f>
        <v>12</v>
      </c>
      <c r="D46" s="5" t="n">
        <f aca="false">COUNTIFS('Compare Models'!$B$2:$B$255,$A46)</f>
        <v>20</v>
      </c>
    </row>
    <row r="49" customFormat="false" ht="15" hidden="false" customHeight="false" outlineLevel="0" collapsed="false">
      <c r="A49" s="3" t="s">
        <v>49</v>
      </c>
    </row>
    <row r="50" customFormat="false" ht="15" hidden="false" customHeight="false" outlineLevel="0" collapsed="false">
      <c r="A50" s="4" t="s">
        <v>50</v>
      </c>
      <c r="B50" s="4" t="s">
        <v>4</v>
      </c>
      <c r="C50" s="4" t="s">
        <v>5</v>
      </c>
      <c r="D50" s="4" t="s">
        <v>28</v>
      </c>
    </row>
    <row r="51" customFormat="false" ht="15" hidden="false" customHeight="false" outlineLevel="0" collapsed="false">
      <c r="A51" s="5" t="s">
        <v>51</v>
      </c>
      <c r="B51" s="17" t="n">
        <f aca="false">COUNTIFS('Compare Models'!$B$2:$B$255,"other",'Compare Models'!$F$2:$F$255,"proposal")</f>
        <v>176</v>
      </c>
      <c r="C51" s="17" t="n">
        <f aca="false">COUNTIFS('Compare Models'!$B$2:$B$255,"other",'Compare Models'!$H$2:$H$255,"proposal")</f>
        <v>122</v>
      </c>
      <c r="D51" s="17" t="n">
        <f aca="false">C51-B51</f>
        <v>-54</v>
      </c>
    </row>
    <row r="52" customFormat="false" ht="15" hidden="false" customHeight="false" outlineLevel="0" collapsed="false">
      <c r="A52" s="5" t="s">
        <v>52</v>
      </c>
      <c r="B52" s="17" t="n">
        <f aca="false">COUNTIF('Compare Models'!$B$2:$B$255,"other")-B51</f>
        <v>13</v>
      </c>
      <c r="C52" s="17" t="n">
        <f aca="false">COUNTIF('Compare Models'!$B$2:$B$255,"other")-C51</f>
        <v>67</v>
      </c>
      <c r="D52" s="17" t="n">
        <f aca="false">C52-B52</f>
        <v>54</v>
      </c>
    </row>
    <row r="53" customFormat="false" ht="15" hidden="false" customHeight="false" outlineLevel="0" collapsed="false">
      <c r="A53" s="16" t="s">
        <v>53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22" min="4" style="0" width="14"/>
  </cols>
  <sheetData>
    <row r="1" customFormat="false" ht="30" hidden="false" customHeight="true" outlineLevel="0" collapsed="false">
      <c r="A1" s="4" t="s">
        <v>54</v>
      </c>
      <c r="B1" s="4" t="s">
        <v>55</v>
      </c>
      <c r="C1" s="4" t="s">
        <v>56</v>
      </c>
      <c r="D1" s="4" t="s">
        <v>57</v>
      </c>
      <c r="E1" s="4" t="s">
        <v>58</v>
      </c>
      <c r="F1" s="4" t="s">
        <v>59</v>
      </c>
      <c r="G1" s="4" t="s">
        <v>60</v>
      </c>
      <c r="H1" s="4" t="s">
        <v>61</v>
      </c>
      <c r="I1" s="4" t="s">
        <v>62</v>
      </c>
      <c r="J1" s="4" t="s">
        <v>63</v>
      </c>
      <c r="K1" s="4" t="s">
        <v>64</v>
      </c>
      <c r="L1" s="4" t="s">
        <v>65</v>
      </c>
      <c r="M1" s="4" t="s">
        <v>66</v>
      </c>
      <c r="N1" s="4" t="s">
        <v>67</v>
      </c>
      <c r="O1" s="4" t="s">
        <v>68</v>
      </c>
      <c r="P1" s="4" t="s">
        <v>69</v>
      </c>
      <c r="Q1" s="4" t="s">
        <v>70</v>
      </c>
      <c r="R1" s="4" t="s">
        <v>71</v>
      </c>
      <c r="S1" s="4" t="s">
        <v>72</v>
      </c>
      <c r="T1" s="4" t="s">
        <v>73</v>
      </c>
      <c r="U1" s="4" t="s">
        <v>74</v>
      </c>
      <c r="V1" s="4" t="s">
        <v>75</v>
      </c>
    </row>
    <row r="2" customFormat="false" ht="15" hidden="false" customHeight="false" outlineLevel="0" collapsed="false">
      <c r="A2" s="24" t="n">
        <v>46294.9057692361</v>
      </c>
      <c r="B2" s="5" t="s">
        <v>76</v>
      </c>
      <c r="C2" s="5" t="s">
        <v>76</v>
      </c>
      <c r="D2" s="12" t="n">
        <v>522</v>
      </c>
      <c r="E2" s="12" t="n">
        <v>522</v>
      </c>
      <c r="F2" s="25" t="b">
        <f aca="false">FALSE()</f>
        <v>0</v>
      </c>
      <c r="G2" s="5" t="n">
        <v>1921.3</v>
      </c>
      <c r="H2" s="5" t="n">
        <v>1472.9</v>
      </c>
      <c r="I2" s="12" t="n">
        <v>522</v>
      </c>
      <c r="J2" s="12" t="n">
        <v>522</v>
      </c>
      <c r="K2" s="12" t="n">
        <v>522</v>
      </c>
      <c r="L2" s="12" t="n">
        <v>0</v>
      </c>
      <c r="M2" s="5"/>
      <c r="N2" s="12" t="n">
        <v>0</v>
      </c>
      <c r="O2" s="5" t="n">
        <v>1.4</v>
      </c>
      <c r="P2" s="5" t="n">
        <v>2.81</v>
      </c>
      <c r="Q2" s="5" t="n">
        <v>2.82</v>
      </c>
      <c r="R2" s="5" t="n">
        <v>3.29</v>
      </c>
      <c r="S2" s="5" t="n">
        <v>8.15</v>
      </c>
      <c r="T2" s="12" t="n">
        <v>1837099</v>
      </c>
      <c r="U2" s="12" t="n">
        <v>28132</v>
      </c>
      <c r="V2" s="12" t="n">
        <v>0</v>
      </c>
    </row>
    <row r="3" customFormat="false" ht="15" hidden="false" customHeight="false" outlineLevel="0" collapsed="false">
      <c r="A3" s="24" t="n">
        <v>46294.9348864236</v>
      </c>
      <c r="B3" s="5" t="s">
        <v>77</v>
      </c>
      <c r="C3" s="5" t="s">
        <v>77</v>
      </c>
      <c r="D3" s="12" t="n">
        <v>522</v>
      </c>
      <c r="E3" s="12" t="n">
        <v>522</v>
      </c>
      <c r="F3" s="25" t="b">
        <f aca="false">FALSE()</f>
        <v>0</v>
      </c>
      <c r="G3" s="5" t="n">
        <v>1961.5</v>
      </c>
      <c r="H3" s="5" t="n">
        <v>1577.3</v>
      </c>
      <c r="I3" s="12" t="n">
        <v>543</v>
      </c>
      <c r="J3" s="12" t="n">
        <v>522</v>
      </c>
      <c r="K3" s="12" t="n">
        <v>522</v>
      </c>
      <c r="L3" s="12" t="n">
        <v>21</v>
      </c>
      <c r="M3" s="5" t="s">
        <v>78</v>
      </c>
      <c r="N3" s="12" t="n">
        <v>0</v>
      </c>
      <c r="O3" s="5" t="n">
        <v>1.65</v>
      </c>
      <c r="P3" s="5" t="n">
        <v>2.82</v>
      </c>
      <c r="Q3" s="5" t="n">
        <v>2.9</v>
      </c>
      <c r="R3" s="5" t="n">
        <v>3.58</v>
      </c>
      <c r="S3" s="5" t="n">
        <v>4.06</v>
      </c>
      <c r="T3" s="12" t="n">
        <v>1748695</v>
      </c>
      <c r="U3" s="12" t="n">
        <v>26745</v>
      </c>
      <c r="V3" s="1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5" min="4" style="0" width="34"/>
    <col collapsed="false" customWidth="true" hidden="false" outlineLevel="0" max="6" min="6" style="0" width="24"/>
    <col collapsed="false" customWidth="true" hidden="false" outlineLevel="0" max="7" min="7" style="0" width="45"/>
    <col collapsed="false" customWidth="true" hidden="false" outlineLevel="0" max="8" min="8" style="0" width="24"/>
    <col collapsed="false" customWidth="true" hidden="false" outlineLevel="0" max="9" min="9" style="0" width="45"/>
  </cols>
  <sheetData>
    <row r="1" customFormat="false" ht="31.5" hidden="false" customHeight="true" outlineLevel="0" collapsed="false">
      <c r="A1" s="4" t="s">
        <v>79</v>
      </c>
      <c r="B1" s="4" t="s">
        <v>80</v>
      </c>
      <c r="C1" s="4" t="s">
        <v>81</v>
      </c>
      <c r="D1" s="4" t="s">
        <v>82</v>
      </c>
      <c r="E1" s="4" t="s">
        <v>83</v>
      </c>
      <c r="F1" s="4" t="s">
        <v>84</v>
      </c>
      <c r="G1" s="4" t="s">
        <v>85</v>
      </c>
      <c r="H1" s="4" t="s">
        <v>86</v>
      </c>
      <c r="I1" s="4" t="s">
        <v>87</v>
      </c>
    </row>
    <row r="2" customFormat="false" ht="15" hidden="false" customHeight="false" outlineLevel="0" collapsed="false">
      <c r="A2" s="26" t="n">
        <v>550</v>
      </c>
      <c r="B2" s="26" t="s">
        <v>47</v>
      </c>
      <c r="C2" s="26" t="s">
        <v>88</v>
      </c>
      <c r="D2" s="27" t="s">
        <v>89</v>
      </c>
      <c r="E2" s="27" t="s">
        <v>90</v>
      </c>
      <c r="F2" s="27" t="s">
        <v>29</v>
      </c>
      <c r="G2" s="27" t="s">
        <v>89</v>
      </c>
      <c r="H2" s="27" t="s">
        <v>29</v>
      </c>
      <c r="I2" s="27" t="s">
        <v>89</v>
      </c>
    </row>
    <row r="3" customFormat="false" ht="23.85" hidden="false" customHeight="false" outlineLevel="0" collapsed="false">
      <c r="A3" s="26" t="n">
        <v>559</v>
      </c>
      <c r="B3" s="26" t="s">
        <v>48</v>
      </c>
      <c r="C3" s="26" t="s">
        <v>91</v>
      </c>
      <c r="D3" s="27" t="s">
        <v>92</v>
      </c>
      <c r="E3" s="27" t="s">
        <v>93</v>
      </c>
      <c r="F3" s="27" t="s">
        <v>30</v>
      </c>
      <c r="G3" s="27" t="s">
        <v>94</v>
      </c>
      <c r="H3" s="27" t="s">
        <v>30</v>
      </c>
      <c r="I3" s="27" t="s">
        <v>94</v>
      </c>
    </row>
    <row r="4" customFormat="false" ht="15" hidden="false" customHeight="false" outlineLevel="0" collapsed="false">
      <c r="A4" s="26" t="n">
        <v>563</v>
      </c>
      <c r="B4" s="26" t="s">
        <v>48</v>
      </c>
      <c r="C4" s="26" t="s">
        <v>91</v>
      </c>
      <c r="D4" s="27" t="s">
        <v>95</v>
      </c>
      <c r="E4" s="27" t="s">
        <v>96</v>
      </c>
      <c r="F4" s="27" t="s">
        <v>29</v>
      </c>
      <c r="G4" s="27" t="s">
        <v>95</v>
      </c>
      <c r="H4" s="27" t="s">
        <v>29</v>
      </c>
      <c r="I4" s="27" t="s">
        <v>95</v>
      </c>
    </row>
    <row r="5" customFormat="false" ht="15" hidden="false" customHeight="false" outlineLevel="0" collapsed="false">
      <c r="A5" s="26" t="n">
        <v>566</v>
      </c>
      <c r="B5" s="26" t="s">
        <v>48</v>
      </c>
      <c r="C5" s="26" t="s">
        <v>88</v>
      </c>
      <c r="D5" s="27" t="s">
        <v>97</v>
      </c>
      <c r="E5" s="27" t="s">
        <v>98</v>
      </c>
      <c r="F5" s="27" t="s">
        <v>29</v>
      </c>
      <c r="G5" s="27" t="s">
        <v>97</v>
      </c>
      <c r="H5" s="27" t="s">
        <v>29</v>
      </c>
      <c r="I5" s="27" t="s">
        <v>97</v>
      </c>
    </row>
    <row r="6" customFormat="false" ht="15" hidden="false" customHeight="false" outlineLevel="0" collapsed="false">
      <c r="A6" s="26" t="n">
        <v>568</v>
      </c>
      <c r="B6" s="26" t="s">
        <v>99</v>
      </c>
      <c r="C6" s="26" t="s">
        <v>100</v>
      </c>
      <c r="D6" s="27"/>
      <c r="E6" s="27" t="s">
        <v>101</v>
      </c>
      <c r="F6" s="27" t="s">
        <v>31</v>
      </c>
      <c r="G6" s="27"/>
      <c r="H6" s="27" t="s">
        <v>31</v>
      </c>
      <c r="I6" s="27"/>
    </row>
    <row r="7" customFormat="false" ht="23.85" hidden="false" customHeight="false" outlineLevel="0" collapsed="false">
      <c r="A7" s="26" t="n">
        <v>581</v>
      </c>
      <c r="B7" s="26" t="s">
        <v>47</v>
      </c>
      <c r="C7" s="26" t="s">
        <v>102</v>
      </c>
      <c r="D7" s="27" t="s">
        <v>103</v>
      </c>
      <c r="E7" s="27" t="s">
        <v>104</v>
      </c>
      <c r="F7" s="27" t="s">
        <v>30</v>
      </c>
      <c r="G7" s="27" t="s">
        <v>105</v>
      </c>
      <c r="H7" s="27" t="s">
        <v>29</v>
      </c>
      <c r="I7" s="27" t="s">
        <v>103</v>
      </c>
    </row>
    <row r="8" customFormat="false" ht="15" hidden="false" customHeight="false" outlineLevel="0" collapsed="false">
      <c r="A8" s="26" t="n">
        <v>593</v>
      </c>
      <c r="B8" s="26" t="s">
        <v>48</v>
      </c>
      <c r="C8" s="26" t="s">
        <v>106</v>
      </c>
      <c r="D8" s="27" t="s">
        <v>107</v>
      </c>
      <c r="E8" s="27" t="s">
        <v>108</v>
      </c>
      <c r="F8" s="27" t="s">
        <v>29</v>
      </c>
      <c r="G8" s="27" t="s">
        <v>107</v>
      </c>
      <c r="H8" s="27" t="s">
        <v>29</v>
      </c>
      <c r="I8" s="27" t="s">
        <v>107</v>
      </c>
    </row>
    <row r="9" customFormat="false" ht="15" hidden="false" customHeight="false" outlineLevel="0" collapsed="false">
      <c r="A9" s="26" t="n">
        <v>598</v>
      </c>
      <c r="B9" s="26" t="s">
        <v>47</v>
      </c>
      <c r="C9" s="26" t="s">
        <v>91</v>
      </c>
      <c r="D9" s="27" t="s">
        <v>109</v>
      </c>
      <c r="E9" s="27" t="s">
        <v>110</v>
      </c>
      <c r="F9" s="27" t="s">
        <v>29</v>
      </c>
      <c r="G9" s="27" t="s">
        <v>109</v>
      </c>
      <c r="H9" s="27" t="s">
        <v>29</v>
      </c>
      <c r="I9" s="27" t="s">
        <v>109</v>
      </c>
    </row>
    <row r="10" customFormat="false" ht="15" hidden="false" customHeight="false" outlineLevel="0" collapsed="false">
      <c r="A10" s="26" t="n">
        <v>626</v>
      </c>
      <c r="B10" s="26" t="s">
        <v>47</v>
      </c>
      <c r="C10" s="26" t="s">
        <v>102</v>
      </c>
      <c r="D10" s="27" t="s">
        <v>111</v>
      </c>
      <c r="E10" s="27" t="s">
        <v>104</v>
      </c>
      <c r="F10" s="27" t="s">
        <v>29</v>
      </c>
      <c r="G10" s="27" t="s">
        <v>111</v>
      </c>
      <c r="H10" s="27" t="s">
        <v>29</v>
      </c>
      <c r="I10" s="27" t="s">
        <v>111</v>
      </c>
    </row>
    <row r="11" customFormat="false" ht="15" hidden="false" customHeight="false" outlineLevel="0" collapsed="false">
      <c r="A11" s="26" t="n">
        <v>627</v>
      </c>
      <c r="B11" s="26" t="s">
        <v>47</v>
      </c>
      <c r="C11" s="26" t="s">
        <v>102</v>
      </c>
      <c r="D11" s="27" t="s">
        <v>112</v>
      </c>
      <c r="E11" s="27" t="s">
        <v>104</v>
      </c>
      <c r="F11" s="27" t="s">
        <v>29</v>
      </c>
      <c r="G11" s="27" t="s">
        <v>112</v>
      </c>
      <c r="H11" s="27" t="s">
        <v>29</v>
      </c>
      <c r="I11" s="27" t="s">
        <v>112</v>
      </c>
    </row>
    <row r="12" customFormat="false" ht="23.85" hidden="false" customHeight="false" outlineLevel="0" collapsed="false">
      <c r="A12" s="26" t="n">
        <v>630</v>
      </c>
      <c r="B12" s="26" t="s">
        <v>48</v>
      </c>
      <c r="C12" s="26" t="s">
        <v>88</v>
      </c>
      <c r="D12" s="27" t="s">
        <v>113</v>
      </c>
      <c r="E12" s="27" t="s">
        <v>114</v>
      </c>
      <c r="F12" s="27" t="s">
        <v>30</v>
      </c>
      <c r="G12" s="27" t="s">
        <v>115</v>
      </c>
      <c r="H12" s="27" t="s">
        <v>30</v>
      </c>
      <c r="I12" s="27" t="s">
        <v>116</v>
      </c>
    </row>
    <row r="13" customFormat="false" ht="15" hidden="false" customHeight="false" outlineLevel="0" collapsed="false">
      <c r="A13" s="26" t="n">
        <v>633</v>
      </c>
      <c r="B13" s="26" t="s">
        <v>47</v>
      </c>
      <c r="C13" s="26" t="s">
        <v>117</v>
      </c>
      <c r="D13" s="27" t="s">
        <v>118</v>
      </c>
      <c r="E13" s="27" t="s">
        <v>119</v>
      </c>
      <c r="F13" s="27" t="s">
        <v>31</v>
      </c>
      <c r="G13" s="27"/>
      <c r="H13" s="27" t="s">
        <v>31</v>
      </c>
      <c r="I13" s="27"/>
    </row>
    <row r="14" customFormat="false" ht="15" hidden="false" customHeight="false" outlineLevel="0" collapsed="false">
      <c r="A14" s="26" t="n">
        <v>634</v>
      </c>
      <c r="B14" s="26" t="s">
        <v>47</v>
      </c>
      <c r="C14" s="26" t="s">
        <v>102</v>
      </c>
      <c r="D14" s="27" t="s">
        <v>120</v>
      </c>
      <c r="E14" s="27" t="s">
        <v>104</v>
      </c>
      <c r="F14" s="27" t="s">
        <v>29</v>
      </c>
      <c r="G14" s="27" t="s">
        <v>120</v>
      </c>
      <c r="H14" s="27" t="s">
        <v>29</v>
      </c>
      <c r="I14" s="27" t="s">
        <v>120</v>
      </c>
    </row>
    <row r="15" customFormat="false" ht="15" hidden="false" customHeight="false" outlineLevel="0" collapsed="false">
      <c r="A15" s="26" t="n">
        <v>634</v>
      </c>
      <c r="B15" s="26" t="s">
        <v>48</v>
      </c>
      <c r="C15" s="26" t="s">
        <v>102</v>
      </c>
      <c r="D15" s="27" t="s">
        <v>121</v>
      </c>
      <c r="E15" s="27" t="s">
        <v>104</v>
      </c>
      <c r="F15" s="27" t="s">
        <v>29</v>
      </c>
      <c r="G15" s="27" t="s">
        <v>121</v>
      </c>
      <c r="H15" s="27" t="s">
        <v>29</v>
      </c>
      <c r="I15" s="27" t="s">
        <v>121</v>
      </c>
    </row>
    <row r="16" customFormat="false" ht="15" hidden="false" customHeight="false" outlineLevel="0" collapsed="false">
      <c r="A16" s="26" t="n">
        <v>635</v>
      </c>
      <c r="B16" s="26" t="s">
        <v>99</v>
      </c>
      <c r="C16" s="26" t="s">
        <v>122</v>
      </c>
      <c r="D16" s="27" t="s">
        <v>123</v>
      </c>
      <c r="E16" s="27" t="s">
        <v>124</v>
      </c>
      <c r="F16" s="27" t="s">
        <v>36</v>
      </c>
      <c r="G16" s="27"/>
      <c r="H16" s="27" t="s">
        <v>30</v>
      </c>
      <c r="I16" s="27" t="s">
        <v>125</v>
      </c>
    </row>
    <row r="17" customFormat="false" ht="15" hidden="false" customHeight="false" outlineLevel="0" collapsed="false">
      <c r="A17" s="26" t="n">
        <v>636</v>
      </c>
      <c r="B17" s="26" t="s">
        <v>47</v>
      </c>
      <c r="C17" s="26" t="s">
        <v>117</v>
      </c>
      <c r="D17" s="27" t="s">
        <v>126</v>
      </c>
      <c r="E17" s="27" t="s">
        <v>127</v>
      </c>
      <c r="F17" s="27" t="s">
        <v>31</v>
      </c>
      <c r="G17" s="27"/>
      <c r="H17" s="27" t="s">
        <v>31</v>
      </c>
      <c r="I17" s="27"/>
    </row>
    <row r="18" customFormat="false" ht="15" hidden="false" customHeight="false" outlineLevel="0" collapsed="false">
      <c r="A18" s="26" t="n">
        <v>642</v>
      </c>
      <c r="B18" s="26" t="s">
        <v>47</v>
      </c>
      <c r="C18" s="26" t="s">
        <v>88</v>
      </c>
      <c r="D18" s="27" t="s">
        <v>128</v>
      </c>
      <c r="E18" s="27" t="s">
        <v>129</v>
      </c>
      <c r="F18" s="27" t="s">
        <v>29</v>
      </c>
      <c r="G18" s="27" t="s">
        <v>128</v>
      </c>
      <c r="H18" s="27" t="s">
        <v>29</v>
      </c>
      <c r="I18" s="27" t="s">
        <v>128</v>
      </c>
    </row>
    <row r="19" customFormat="false" ht="15" hidden="false" customHeight="false" outlineLevel="0" collapsed="false">
      <c r="A19" s="26" t="n">
        <v>671</v>
      </c>
      <c r="B19" s="26" t="s">
        <v>47</v>
      </c>
      <c r="C19" s="26" t="s">
        <v>117</v>
      </c>
      <c r="D19" s="27" t="s">
        <v>130</v>
      </c>
      <c r="E19" s="27" t="s">
        <v>131</v>
      </c>
      <c r="F19" s="27" t="s">
        <v>31</v>
      </c>
      <c r="G19" s="27"/>
      <c r="H19" s="27" t="s">
        <v>31</v>
      </c>
      <c r="I19" s="27"/>
    </row>
    <row r="20" customFormat="false" ht="15" hidden="false" customHeight="false" outlineLevel="0" collapsed="false">
      <c r="A20" s="26" t="n">
        <v>695</v>
      </c>
      <c r="B20" s="26" t="s">
        <v>47</v>
      </c>
      <c r="C20" s="26" t="s">
        <v>117</v>
      </c>
      <c r="D20" s="27" t="s">
        <v>132</v>
      </c>
      <c r="E20" s="27" t="s">
        <v>133</v>
      </c>
      <c r="F20" s="27" t="s">
        <v>31</v>
      </c>
      <c r="G20" s="27"/>
      <c r="H20" s="27" t="s">
        <v>31</v>
      </c>
      <c r="I20" s="27"/>
    </row>
    <row r="21" customFormat="false" ht="15" hidden="false" customHeight="false" outlineLevel="0" collapsed="false">
      <c r="A21" s="26" t="n">
        <v>696</v>
      </c>
      <c r="B21" s="26" t="s">
        <v>47</v>
      </c>
      <c r="C21" s="26" t="s">
        <v>91</v>
      </c>
      <c r="D21" s="27" t="s">
        <v>134</v>
      </c>
      <c r="E21" s="27" t="s">
        <v>135</v>
      </c>
      <c r="F21" s="27" t="s">
        <v>29</v>
      </c>
      <c r="G21" s="27" t="s">
        <v>134</v>
      </c>
      <c r="H21" s="27" t="s">
        <v>29</v>
      </c>
      <c r="I21" s="27" t="s">
        <v>134</v>
      </c>
    </row>
    <row r="22" customFormat="false" ht="15" hidden="false" customHeight="false" outlineLevel="0" collapsed="false">
      <c r="A22" s="26" t="n">
        <v>697</v>
      </c>
      <c r="B22" s="26" t="s">
        <v>47</v>
      </c>
      <c r="C22" s="26" t="s">
        <v>117</v>
      </c>
      <c r="D22" s="27" t="s">
        <v>136</v>
      </c>
      <c r="E22" s="27" t="s">
        <v>137</v>
      </c>
      <c r="F22" s="27" t="s">
        <v>31</v>
      </c>
      <c r="G22" s="27"/>
      <c r="H22" s="27" t="s">
        <v>31</v>
      </c>
      <c r="I22" s="27"/>
    </row>
    <row r="23" customFormat="false" ht="23.85" hidden="false" customHeight="false" outlineLevel="0" collapsed="false">
      <c r="A23" s="26" t="n">
        <v>726</v>
      </c>
      <c r="B23" s="26" t="s">
        <v>48</v>
      </c>
      <c r="C23" s="26" t="s">
        <v>102</v>
      </c>
      <c r="D23" s="27" t="s">
        <v>138</v>
      </c>
      <c r="E23" s="27" t="s">
        <v>104</v>
      </c>
      <c r="F23" s="27" t="s">
        <v>29</v>
      </c>
      <c r="G23" s="27" t="s">
        <v>138</v>
      </c>
      <c r="H23" s="27" t="s">
        <v>29</v>
      </c>
      <c r="I23" s="27" t="s">
        <v>138</v>
      </c>
    </row>
    <row r="24" customFormat="false" ht="35.05" hidden="false" customHeight="false" outlineLevel="0" collapsed="false">
      <c r="A24" s="26" t="n">
        <v>734</v>
      </c>
      <c r="B24" s="26" t="s">
        <v>48</v>
      </c>
      <c r="C24" s="26" t="s">
        <v>139</v>
      </c>
      <c r="D24" s="27" t="s">
        <v>140</v>
      </c>
      <c r="E24" s="27" t="s">
        <v>141</v>
      </c>
      <c r="F24" s="27" t="s">
        <v>31</v>
      </c>
      <c r="G24" s="27"/>
      <c r="H24" s="27" t="s">
        <v>31</v>
      </c>
      <c r="I24" s="27"/>
    </row>
    <row r="25" customFormat="false" ht="15" hidden="false" customHeight="false" outlineLevel="0" collapsed="false">
      <c r="A25" s="26" t="n">
        <v>746</v>
      </c>
      <c r="B25" s="26" t="s">
        <v>47</v>
      </c>
      <c r="C25" s="26" t="s">
        <v>91</v>
      </c>
      <c r="D25" s="27" t="s">
        <v>142</v>
      </c>
      <c r="E25" s="27" t="s">
        <v>143</v>
      </c>
      <c r="F25" s="27" t="s">
        <v>29</v>
      </c>
      <c r="G25" s="27" t="s">
        <v>144</v>
      </c>
      <c r="H25" s="27" t="s">
        <v>29</v>
      </c>
      <c r="I25" s="27" t="s">
        <v>145</v>
      </c>
    </row>
    <row r="26" customFormat="false" ht="15" hidden="false" customHeight="false" outlineLevel="0" collapsed="false">
      <c r="A26" s="26" t="n">
        <v>753</v>
      </c>
      <c r="B26" s="26" t="s">
        <v>48</v>
      </c>
      <c r="C26" s="26" t="s">
        <v>88</v>
      </c>
      <c r="D26" s="27" t="s">
        <v>146</v>
      </c>
      <c r="E26" s="27" t="s">
        <v>147</v>
      </c>
      <c r="F26" s="27" t="s">
        <v>29</v>
      </c>
      <c r="G26" s="27" t="s">
        <v>146</v>
      </c>
      <c r="H26" s="27" t="s">
        <v>29</v>
      </c>
      <c r="I26" s="27" t="s">
        <v>146</v>
      </c>
    </row>
    <row r="27" customFormat="false" ht="15" hidden="false" customHeight="false" outlineLevel="0" collapsed="false">
      <c r="A27" s="26" t="n">
        <v>777</v>
      </c>
      <c r="B27" s="26" t="s">
        <v>48</v>
      </c>
      <c r="C27" s="26" t="s">
        <v>139</v>
      </c>
      <c r="D27" s="27" t="s">
        <v>148</v>
      </c>
      <c r="E27" s="27" t="s">
        <v>149</v>
      </c>
      <c r="F27" s="27" t="s">
        <v>31</v>
      </c>
      <c r="G27" s="27"/>
      <c r="H27" s="27" t="s">
        <v>31</v>
      </c>
      <c r="I27" s="27"/>
    </row>
    <row r="28" customFormat="false" ht="15" hidden="false" customHeight="false" outlineLevel="0" collapsed="false">
      <c r="A28" s="26" t="n">
        <v>793</v>
      </c>
      <c r="B28" s="26" t="s">
        <v>99</v>
      </c>
      <c r="C28" s="26" t="s">
        <v>150</v>
      </c>
      <c r="D28" s="27" t="s">
        <v>151</v>
      </c>
      <c r="E28" s="27" t="s">
        <v>152</v>
      </c>
      <c r="F28" s="27" t="s">
        <v>34</v>
      </c>
      <c r="G28" s="27"/>
      <c r="H28" s="27" t="s">
        <v>34</v>
      </c>
      <c r="I28" s="27"/>
    </row>
    <row r="29" customFormat="false" ht="15" hidden="false" customHeight="false" outlineLevel="0" collapsed="false">
      <c r="A29" s="26" t="n">
        <v>800</v>
      </c>
      <c r="B29" s="26" t="s">
        <v>48</v>
      </c>
      <c r="C29" s="26" t="s">
        <v>106</v>
      </c>
      <c r="D29" s="27" t="s">
        <v>153</v>
      </c>
      <c r="E29" s="27" t="s">
        <v>154</v>
      </c>
      <c r="F29" s="27" t="s">
        <v>29</v>
      </c>
      <c r="G29" s="27" t="s">
        <v>153</v>
      </c>
      <c r="H29" s="27" t="s">
        <v>29</v>
      </c>
      <c r="I29" s="27" t="s">
        <v>153</v>
      </c>
    </row>
    <row r="30" customFormat="false" ht="23.85" hidden="false" customHeight="false" outlineLevel="0" collapsed="false">
      <c r="A30" s="26" t="n">
        <v>810</v>
      </c>
      <c r="B30" s="26" t="s">
        <v>48</v>
      </c>
      <c r="C30" s="26" t="s">
        <v>102</v>
      </c>
      <c r="D30" s="27" t="s">
        <v>155</v>
      </c>
      <c r="E30" s="27" t="s">
        <v>104</v>
      </c>
      <c r="F30" s="27" t="s">
        <v>29</v>
      </c>
      <c r="G30" s="27" t="s">
        <v>155</v>
      </c>
      <c r="H30" s="27" t="s">
        <v>29</v>
      </c>
      <c r="I30" s="27" t="s">
        <v>155</v>
      </c>
    </row>
    <row r="31" customFormat="false" ht="15" hidden="false" customHeight="false" outlineLevel="0" collapsed="false">
      <c r="A31" s="26" t="n">
        <v>818</v>
      </c>
      <c r="B31" s="26" t="s">
        <v>47</v>
      </c>
      <c r="C31" s="26" t="s">
        <v>91</v>
      </c>
      <c r="D31" s="27" t="s">
        <v>156</v>
      </c>
      <c r="E31" s="27" t="s">
        <v>157</v>
      </c>
      <c r="F31" s="27" t="s">
        <v>29</v>
      </c>
      <c r="G31" s="27" t="s">
        <v>156</v>
      </c>
      <c r="H31" s="27" t="s">
        <v>30</v>
      </c>
      <c r="I31" s="27" t="s">
        <v>158</v>
      </c>
    </row>
    <row r="32" customFormat="false" ht="35.05" hidden="false" customHeight="false" outlineLevel="0" collapsed="false">
      <c r="A32" s="26" t="n">
        <v>820</v>
      </c>
      <c r="B32" s="26" t="s">
        <v>48</v>
      </c>
      <c r="C32" s="26" t="s">
        <v>139</v>
      </c>
      <c r="D32" s="27" t="s">
        <v>159</v>
      </c>
      <c r="E32" s="27" t="s">
        <v>160</v>
      </c>
      <c r="F32" s="27" t="s">
        <v>30</v>
      </c>
      <c r="G32" s="27" t="s">
        <v>161</v>
      </c>
      <c r="H32" s="27" t="s">
        <v>30</v>
      </c>
      <c r="I32" s="27" t="s">
        <v>162</v>
      </c>
    </row>
    <row r="33" customFormat="false" ht="35.05" hidden="false" customHeight="false" outlineLevel="0" collapsed="false">
      <c r="A33" s="26" t="n">
        <v>829</v>
      </c>
      <c r="B33" s="26" t="s">
        <v>48</v>
      </c>
      <c r="C33" s="26" t="s">
        <v>88</v>
      </c>
      <c r="D33" s="27" t="s">
        <v>163</v>
      </c>
      <c r="E33" s="27" t="s">
        <v>164</v>
      </c>
      <c r="F33" s="27" t="s">
        <v>29</v>
      </c>
      <c r="G33" s="27" t="s">
        <v>163</v>
      </c>
      <c r="H33" s="27" t="s">
        <v>29</v>
      </c>
      <c r="I33" s="27" t="s">
        <v>163</v>
      </c>
    </row>
    <row r="34" customFormat="false" ht="15" hidden="false" customHeight="false" outlineLevel="0" collapsed="false">
      <c r="A34" s="26" t="n">
        <v>834</v>
      </c>
      <c r="B34" s="26" t="s">
        <v>99</v>
      </c>
      <c r="C34" s="26" t="s">
        <v>100</v>
      </c>
      <c r="D34" s="27"/>
      <c r="E34" s="27" t="s">
        <v>165</v>
      </c>
      <c r="F34" s="27" t="s">
        <v>31</v>
      </c>
      <c r="G34" s="27"/>
      <c r="H34" s="27" t="s">
        <v>31</v>
      </c>
      <c r="I34" s="27"/>
    </row>
    <row r="35" customFormat="false" ht="23.85" hidden="false" customHeight="false" outlineLevel="0" collapsed="false">
      <c r="A35" s="26" t="n">
        <v>877</v>
      </c>
      <c r="B35" s="26" t="s">
        <v>48</v>
      </c>
      <c r="C35" s="26" t="s">
        <v>106</v>
      </c>
      <c r="D35" s="27" t="s">
        <v>166</v>
      </c>
      <c r="E35" s="27" t="s">
        <v>167</v>
      </c>
      <c r="F35" s="27" t="s">
        <v>30</v>
      </c>
      <c r="G35" s="27" t="s">
        <v>168</v>
      </c>
      <c r="H35" s="27" t="s">
        <v>29</v>
      </c>
      <c r="I35" s="27" t="s">
        <v>166</v>
      </c>
    </row>
    <row r="36" customFormat="false" ht="15" hidden="false" customHeight="false" outlineLevel="0" collapsed="false">
      <c r="A36" s="26" t="n">
        <v>882</v>
      </c>
      <c r="B36" s="26" t="s">
        <v>47</v>
      </c>
      <c r="C36" s="26" t="s">
        <v>117</v>
      </c>
      <c r="D36" s="27" t="s">
        <v>169</v>
      </c>
      <c r="E36" s="27" t="s">
        <v>170</v>
      </c>
      <c r="F36" s="27" t="s">
        <v>31</v>
      </c>
      <c r="G36" s="27"/>
      <c r="H36" s="27" t="s">
        <v>31</v>
      </c>
      <c r="I36" s="27"/>
    </row>
    <row r="37" customFormat="false" ht="23.85" hidden="false" customHeight="false" outlineLevel="0" collapsed="false">
      <c r="A37" s="26" t="n">
        <v>894</v>
      </c>
      <c r="B37" s="26" t="s">
        <v>48</v>
      </c>
      <c r="C37" s="26" t="s">
        <v>91</v>
      </c>
      <c r="D37" s="27" t="s">
        <v>171</v>
      </c>
      <c r="E37" s="27" t="s">
        <v>172</v>
      </c>
      <c r="F37" s="27" t="s">
        <v>29</v>
      </c>
      <c r="G37" s="27" t="s">
        <v>171</v>
      </c>
      <c r="H37" s="27" t="s">
        <v>29</v>
      </c>
      <c r="I37" s="27" t="s">
        <v>171</v>
      </c>
    </row>
    <row r="38" customFormat="false" ht="15" hidden="false" customHeight="false" outlineLevel="0" collapsed="false">
      <c r="A38" s="26" t="n">
        <v>898</v>
      </c>
      <c r="B38" s="26" t="s">
        <v>47</v>
      </c>
      <c r="C38" s="26" t="s">
        <v>88</v>
      </c>
      <c r="D38" s="27" t="s">
        <v>120</v>
      </c>
      <c r="E38" s="27" t="s">
        <v>173</v>
      </c>
      <c r="F38" s="27" t="s">
        <v>29</v>
      </c>
      <c r="G38" s="27" t="s">
        <v>120</v>
      </c>
      <c r="H38" s="27" t="s">
        <v>29</v>
      </c>
      <c r="I38" s="27" t="s">
        <v>120</v>
      </c>
    </row>
    <row r="39" customFormat="false" ht="15" hidden="false" customHeight="false" outlineLevel="0" collapsed="false">
      <c r="A39" s="26" t="n">
        <v>899</v>
      </c>
      <c r="B39" s="26" t="s">
        <v>99</v>
      </c>
      <c r="C39" s="26" t="s">
        <v>122</v>
      </c>
      <c r="D39" s="27" t="s">
        <v>123</v>
      </c>
      <c r="E39" s="27" t="s">
        <v>174</v>
      </c>
      <c r="F39" s="27" t="s">
        <v>36</v>
      </c>
      <c r="G39" s="27"/>
      <c r="H39" s="27" t="s">
        <v>36</v>
      </c>
      <c r="I39" s="27"/>
    </row>
    <row r="40" customFormat="false" ht="15" hidden="false" customHeight="false" outlineLevel="0" collapsed="false">
      <c r="A40" s="26" t="n">
        <v>912</v>
      </c>
      <c r="B40" s="26" t="s">
        <v>47</v>
      </c>
      <c r="C40" s="26" t="s">
        <v>88</v>
      </c>
      <c r="D40" s="27" t="s">
        <v>175</v>
      </c>
      <c r="E40" s="27" t="s">
        <v>176</v>
      </c>
      <c r="F40" s="27" t="s">
        <v>29</v>
      </c>
      <c r="G40" s="27" t="s">
        <v>175</v>
      </c>
      <c r="H40" s="27" t="s">
        <v>29</v>
      </c>
      <c r="I40" s="27" t="s">
        <v>175</v>
      </c>
    </row>
    <row r="41" customFormat="false" ht="35.05" hidden="false" customHeight="false" outlineLevel="0" collapsed="false">
      <c r="A41" s="26" t="n">
        <v>945</v>
      </c>
      <c r="B41" s="26" t="s">
        <v>48</v>
      </c>
      <c r="C41" s="26" t="s">
        <v>88</v>
      </c>
      <c r="D41" s="27" t="s">
        <v>177</v>
      </c>
      <c r="E41" s="27" t="s">
        <v>178</v>
      </c>
      <c r="F41" s="27" t="s">
        <v>30</v>
      </c>
      <c r="G41" s="27" t="s">
        <v>179</v>
      </c>
      <c r="H41" s="27" t="s">
        <v>30</v>
      </c>
      <c r="I41" s="27" t="s">
        <v>179</v>
      </c>
    </row>
    <row r="42" customFormat="false" ht="23.85" hidden="false" customHeight="false" outlineLevel="0" collapsed="false">
      <c r="A42" s="26" t="n">
        <v>989</v>
      </c>
      <c r="B42" s="26" t="s">
        <v>48</v>
      </c>
      <c r="C42" s="26" t="s">
        <v>102</v>
      </c>
      <c r="D42" s="27" t="s">
        <v>180</v>
      </c>
      <c r="E42" s="27" t="s">
        <v>104</v>
      </c>
      <c r="F42" s="27" t="s">
        <v>30</v>
      </c>
      <c r="G42" s="27" t="s">
        <v>181</v>
      </c>
      <c r="H42" s="27" t="s">
        <v>30</v>
      </c>
      <c r="I42" s="27" t="s">
        <v>181</v>
      </c>
    </row>
    <row r="43" customFormat="false" ht="15" hidden="false" customHeight="false" outlineLevel="0" collapsed="false">
      <c r="A43" s="26" t="n">
        <v>1000</v>
      </c>
      <c r="B43" s="26" t="s">
        <v>47</v>
      </c>
      <c r="C43" s="26" t="s">
        <v>91</v>
      </c>
      <c r="D43" s="27" t="s">
        <v>182</v>
      </c>
      <c r="E43" s="27" t="s">
        <v>175</v>
      </c>
      <c r="F43" s="27" t="s">
        <v>29</v>
      </c>
      <c r="G43" s="27" t="s">
        <v>182</v>
      </c>
      <c r="H43" s="27" t="s">
        <v>29</v>
      </c>
      <c r="I43" s="27" t="s">
        <v>182</v>
      </c>
    </row>
    <row r="44" customFormat="false" ht="23.85" hidden="false" customHeight="false" outlineLevel="0" collapsed="false">
      <c r="A44" s="26" t="n">
        <v>1007</v>
      </c>
      <c r="B44" s="26" t="s">
        <v>48</v>
      </c>
      <c r="C44" s="26" t="s">
        <v>106</v>
      </c>
      <c r="D44" s="27" t="s">
        <v>183</v>
      </c>
      <c r="E44" s="27" t="s">
        <v>184</v>
      </c>
      <c r="F44" s="27" t="s">
        <v>29</v>
      </c>
      <c r="G44" s="27" t="s">
        <v>183</v>
      </c>
      <c r="H44" s="27" t="s">
        <v>29</v>
      </c>
      <c r="I44" s="27" t="s">
        <v>183</v>
      </c>
    </row>
    <row r="45" customFormat="false" ht="15" hidden="false" customHeight="false" outlineLevel="0" collapsed="false">
      <c r="A45" s="26" t="n">
        <v>1026</v>
      </c>
      <c r="B45" s="26" t="s">
        <v>48</v>
      </c>
      <c r="C45" s="26" t="s">
        <v>139</v>
      </c>
      <c r="D45" s="27" t="s">
        <v>185</v>
      </c>
      <c r="E45" s="27" t="s">
        <v>186</v>
      </c>
      <c r="F45" s="27" t="s">
        <v>31</v>
      </c>
      <c r="G45" s="27"/>
      <c r="H45" s="27" t="s">
        <v>31</v>
      </c>
      <c r="I45" s="27"/>
    </row>
    <row r="46" customFormat="false" ht="15" hidden="false" customHeight="false" outlineLevel="0" collapsed="false">
      <c r="A46" s="26" t="n">
        <v>1050</v>
      </c>
      <c r="B46" s="26" t="s">
        <v>47</v>
      </c>
      <c r="C46" s="26" t="s">
        <v>91</v>
      </c>
      <c r="D46" s="27" t="s">
        <v>187</v>
      </c>
      <c r="E46" s="27" t="s">
        <v>188</v>
      </c>
      <c r="F46" s="27" t="s">
        <v>30</v>
      </c>
      <c r="G46" s="27" t="s">
        <v>189</v>
      </c>
      <c r="H46" s="27" t="s">
        <v>29</v>
      </c>
      <c r="I46" s="27" t="s">
        <v>187</v>
      </c>
    </row>
    <row r="47" customFormat="false" ht="35.05" hidden="false" customHeight="false" outlineLevel="0" collapsed="false">
      <c r="A47" s="26" t="n">
        <v>538</v>
      </c>
      <c r="B47" s="26" t="s">
        <v>190</v>
      </c>
      <c r="C47" s="26" t="s">
        <v>191</v>
      </c>
      <c r="D47" s="27" t="s">
        <v>192</v>
      </c>
      <c r="E47" s="27" t="s">
        <v>193</v>
      </c>
      <c r="F47" s="27" t="s">
        <v>35</v>
      </c>
      <c r="G47" s="27" t="s">
        <v>194</v>
      </c>
      <c r="H47" s="27" t="s">
        <v>33</v>
      </c>
      <c r="I47" s="27"/>
    </row>
    <row r="48" customFormat="false" ht="35.05" hidden="false" customHeight="false" outlineLevel="0" collapsed="false">
      <c r="A48" s="26" t="n">
        <v>572</v>
      </c>
      <c r="B48" s="26" t="s">
        <v>190</v>
      </c>
      <c r="C48" s="26" t="s">
        <v>191</v>
      </c>
      <c r="D48" s="27" t="s">
        <v>192</v>
      </c>
      <c r="E48" s="27" t="s">
        <v>195</v>
      </c>
      <c r="F48" s="27" t="s">
        <v>35</v>
      </c>
      <c r="G48" s="27" t="s">
        <v>196</v>
      </c>
      <c r="H48" s="27" t="s">
        <v>33</v>
      </c>
      <c r="I48" s="27"/>
    </row>
    <row r="49" customFormat="false" ht="79.85" hidden="false" customHeight="false" outlineLevel="0" collapsed="false">
      <c r="A49" s="26" t="n">
        <v>630</v>
      </c>
      <c r="B49" s="26" t="s">
        <v>190</v>
      </c>
      <c r="C49" s="26" t="s">
        <v>191</v>
      </c>
      <c r="D49" s="27" t="s">
        <v>192</v>
      </c>
      <c r="E49" s="27" t="s">
        <v>197</v>
      </c>
      <c r="F49" s="27" t="s">
        <v>32</v>
      </c>
      <c r="G49" s="27" t="s">
        <v>198</v>
      </c>
      <c r="H49" s="27" t="s">
        <v>32</v>
      </c>
      <c r="I49" s="27" t="s">
        <v>199</v>
      </c>
    </row>
    <row r="50" customFormat="false" ht="15" hidden="false" customHeight="false" outlineLevel="0" collapsed="false">
      <c r="A50" s="26" t="n">
        <v>695</v>
      </c>
      <c r="B50" s="26" t="s">
        <v>190</v>
      </c>
      <c r="C50" s="26" t="s">
        <v>200</v>
      </c>
      <c r="D50" s="27" t="s">
        <v>192</v>
      </c>
      <c r="E50" s="27" t="s">
        <v>201</v>
      </c>
      <c r="F50" s="27" t="s">
        <v>32</v>
      </c>
      <c r="G50" s="27"/>
      <c r="H50" s="27" t="s">
        <v>32</v>
      </c>
      <c r="I50" s="27"/>
    </row>
    <row r="51" customFormat="false" ht="35.05" hidden="false" customHeight="false" outlineLevel="0" collapsed="false">
      <c r="A51" s="26" t="n">
        <v>711</v>
      </c>
      <c r="B51" s="26" t="s">
        <v>190</v>
      </c>
      <c r="C51" s="26" t="s">
        <v>191</v>
      </c>
      <c r="D51" s="27" t="s">
        <v>192</v>
      </c>
      <c r="E51" s="27" t="s">
        <v>202</v>
      </c>
      <c r="F51" s="27" t="s">
        <v>33</v>
      </c>
      <c r="G51" s="27"/>
      <c r="H51" s="27" t="s">
        <v>33</v>
      </c>
      <c r="I51" s="27"/>
    </row>
    <row r="52" customFormat="false" ht="23.85" hidden="false" customHeight="false" outlineLevel="0" collapsed="false">
      <c r="A52" s="26" t="n">
        <v>726</v>
      </c>
      <c r="B52" s="26" t="s">
        <v>190</v>
      </c>
      <c r="C52" s="26" t="s">
        <v>191</v>
      </c>
      <c r="D52" s="27" t="s">
        <v>192</v>
      </c>
      <c r="E52" s="27" t="s">
        <v>203</v>
      </c>
      <c r="F52" s="27" t="s">
        <v>32</v>
      </c>
      <c r="G52" s="27" t="s">
        <v>204</v>
      </c>
      <c r="H52" s="27" t="s">
        <v>32</v>
      </c>
      <c r="I52" s="27" t="s">
        <v>204</v>
      </c>
    </row>
    <row r="53" customFormat="false" ht="15" hidden="false" customHeight="false" outlineLevel="0" collapsed="false">
      <c r="A53" s="26" t="n">
        <v>772</v>
      </c>
      <c r="B53" s="26" t="s">
        <v>190</v>
      </c>
      <c r="C53" s="26" t="s">
        <v>200</v>
      </c>
      <c r="D53" s="27" t="s">
        <v>192</v>
      </c>
      <c r="E53" s="27" t="s">
        <v>201</v>
      </c>
      <c r="F53" s="27" t="s">
        <v>33</v>
      </c>
      <c r="G53" s="27"/>
      <c r="H53" s="27" t="s">
        <v>33</v>
      </c>
      <c r="I53" s="27"/>
    </row>
    <row r="54" customFormat="false" ht="15" hidden="false" customHeight="false" outlineLevel="0" collapsed="false">
      <c r="A54" s="26" t="n">
        <v>792</v>
      </c>
      <c r="B54" s="26" t="s">
        <v>190</v>
      </c>
      <c r="C54" s="26" t="s">
        <v>200</v>
      </c>
      <c r="D54" s="27" t="s">
        <v>192</v>
      </c>
      <c r="E54" s="27" t="s">
        <v>201</v>
      </c>
      <c r="F54" s="27" t="s">
        <v>33</v>
      </c>
      <c r="G54" s="27"/>
      <c r="H54" s="27" t="s">
        <v>33</v>
      </c>
      <c r="I54" s="27"/>
    </row>
    <row r="55" customFormat="false" ht="23.85" hidden="false" customHeight="false" outlineLevel="0" collapsed="false">
      <c r="A55" s="26" t="n">
        <v>800</v>
      </c>
      <c r="B55" s="26" t="s">
        <v>190</v>
      </c>
      <c r="C55" s="26" t="s">
        <v>200</v>
      </c>
      <c r="D55" s="27" t="s">
        <v>192</v>
      </c>
      <c r="E55" s="27" t="s">
        <v>201</v>
      </c>
      <c r="F55" s="27" t="s">
        <v>32</v>
      </c>
      <c r="G55" s="27" t="s">
        <v>205</v>
      </c>
      <c r="H55" s="27" t="s">
        <v>32</v>
      </c>
      <c r="I55" s="27" t="s">
        <v>205</v>
      </c>
    </row>
    <row r="56" customFormat="false" ht="23.85" hidden="false" customHeight="false" outlineLevel="0" collapsed="false">
      <c r="A56" s="26" t="n">
        <v>810</v>
      </c>
      <c r="B56" s="26" t="s">
        <v>190</v>
      </c>
      <c r="C56" s="26" t="s">
        <v>191</v>
      </c>
      <c r="D56" s="27" t="s">
        <v>192</v>
      </c>
      <c r="E56" s="27" t="s">
        <v>206</v>
      </c>
      <c r="F56" s="27" t="s">
        <v>32</v>
      </c>
      <c r="G56" s="27" t="s">
        <v>207</v>
      </c>
      <c r="H56" s="27" t="s">
        <v>32</v>
      </c>
      <c r="I56" s="27" t="s">
        <v>207</v>
      </c>
    </row>
    <row r="57" customFormat="false" ht="46.25" hidden="false" customHeight="false" outlineLevel="0" collapsed="false">
      <c r="A57" s="26" t="n">
        <v>815</v>
      </c>
      <c r="B57" s="26" t="s">
        <v>190</v>
      </c>
      <c r="C57" s="26" t="s">
        <v>191</v>
      </c>
      <c r="D57" s="27" t="s">
        <v>192</v>
      </c>
      <c r="E57" s="27" t="s">
        <v>208</v>
      </c>
      <c r="F57" s="27" t="s">
        <v>35</v>
      </c>
      <c r="G57" s="27" t="s">
        <v>209</v>
      </c>
      <c r="H57" s="27" t="s">
        <v>35</v>
      </c>
      <c r="I57" s="27" t="s">
        <v>210</v>
      </c>
    </row>
    <row r="58" customFormat="false" ht="57.45" hidden="false" customHeight="false" outlineLevel="0" collapsed="false">
      <c r="A58" s="26" t="n">
        <v>819</v>
      </c>
      <c r="B58" s="26" t="s">
        <v>190</v>
      </c>
      <c r="C58" s="26" t="s">
        <v>191</v>
      </c>
      <c r="D58" s="27" t="s">
        <v>192</v>
      </c>
      <c r="E58" s="27" t="s">
        <v>211</v>
      </c>
      <c r="F58" s="27" t="s">
        <v>35</v>
      </c>
      <c r="G58" s="27" t="s">
        <v>212</v>
      </c>
      <c r="H58" s="27" t="s">
        <v>35</v>
      </c>
      <c r="I58" s="27" t="s">
        <v>213</v>
      </c>
    </row>
    <row r="59" customFormat="false" ht="46.25" hidden="false" customHeight="false" outlineLevel="0" collapsed="false">
      <c r="A59" s="26" t="n">
        <v>820</v>
      </c>
      <c r="B59" s="26" t="s">
        <v>190</v>
      </c>
      <c r="C59" s="26" t="s">
        <v>200</v>
      </c>
      <c r="D59" s="27" t="s">
        <v>192</v>
      </c>
      <c r="E59" s="27" t="s">
        <v>201</v>
      </c>
      <c r="F59" s="27" t="s">
        <v>32</v>
      </c>
      <c r="G59" s="27" t="s">
        <v>214</v>
      </c>
      <c r="H59" s="27" t="s">
        <v>32</v>
      </c>
      <c r="I59" s="27" t="s">
        <v>215</v>
      </c>
    </row>
    <row r="60" customFormat="false" ht="57.45" hidden="false" customHeight="false" outlineLevel="0" collapsed="false">
      <c r="A60" s="26" t="n">
        <v>829</v>
      </c>
      <c r="B60" s="26" t="s">
        <v>190</v>
      </c>
      <c r="C60" s="26" t="s">
        <v>200</v>
      </c>
      <c r="D60" s="27" t="s">
        <v>192</v>
      </c>
      <c r="E60" s="27" t="s">
        <v>201</v>
      </c>
      <c r="F60" s="27" t="s">
        <v>32</v>
      </c>
      <c r="G60" s="27" t="s">
        <v>216</v>
      </c>
      <c r="H60" s="27" t="s">
        <v>32</v>
      </c>
      <c r="I60" s="27" t="s">
        <v>216</v>
      </c>
    </row>
    <row r="61" customFormat="false" ht="15" hidden="false" customHeight="false" outlineLevel="0" collapsed="false">
      <c r="A61" s="26" t="n">
        <v>860</v>
      </c>
      <c r="B61" s="26" t="s">
        <v>190</v>
      </c>
      <c r="C61" s="26" t="s">
        <v>200</v>
      </c>
      <c r="D61" s="27" t="s">
        <v>192</v>
      </c>
      <c r="E61" s="27" t="s">
        <v>201</v>
      </c>
      <c r="F61" s="27" t="s">
        <v>33</v>
      </c>
      <c r="G61" s="27"/>
      <c r="H61" s="27" t="s">
        <v>33</v>
      </c>
      <c r="I61" s="27"/>
    </row>
    <row r="62" customFormat="false" ht="15" hidden="false" customHeight="false" outlineLevel="0" collapsed="false">
      <c r="A62" s="26" t="n">
        <v>865</v>
      </c>
      <c r="B62" s="26" t="s">
        <v>190</v>
      </c>
      <c r="C62" s="26" t="s">
        <v>200</v>
      </c>
      <c r="D62" s="27" t="s">
        <v>192</v>
      </c>
      <c r="E62" s="27" t="s">
        <v>201</v>
      </c>
      <c r="F62" s="27" t="s">
        <v>33</v>
      </c>
      <c r="G62" s="27"/>
      <c r="H62" s="27" t="s">
        <v>33</v>
      </c>
      <c r="I62" s="27"/>
    </row>
    <row r="63" customFormat="false" ht="23.85" hidden="false" customHeight="false" outlineLevel="0" collapsed="false">
      <c r="A63" s="26" t="n">
        <v>882</v>
      </c>
      <c r="B63" s="26" t="s">
        <v>190</v>
      </c>
      <c r="C63" s="26" t="s">
        <v>191</v>
      </c>
      <c r="D63" s="27" t="s">
        <v>192</v>
      </c>
      <c r="E63" s="27" t="s">
        <v>217</v>
      </c>
      <c r="F63" s="27" t="s">
        <v>32</v>
      </c>
      <c r="G63" s="27"/>
      <c r="H63" s="27" t="s">
        <v>32</v>
      </c>
      <c r="I63" s="27"/>
    </row>
    <row r="64" customFormat="false" ht="15" hidden="false" customHeight="false" outlineLevel="0" collapsed="false">
      <c r="A64" s="26" t="n">
        <v>912</v>
      </c>
      <c r="B64" s="26" t="s">
        <v>190</v>
      </c>
      <c r="C64" s="26" t="s">
        <v>200</v>
      </c>
      <c r="D64" s="27" t="s">
        <v>192</v>
      </c>
      <c r="E64" s="27" t="s">
        <v>201</v>
      </c>
      <c r="F64" s="27" t="s">
        <v>32</v>
      </c>
      <c r="G64" s="27" t="s">
        <v>218</v>
      </c>
      <c r="H64" s="27" t="s">
        <v>32</v>
      </c>
      <c r="I64" s="27" t="s">
        <v>218</v>
      </c>
    </row>
    <row r="65" customFormat="false" ht="35.05" hidden="false" customHeight="false" outlineLevel="0" collapsed="false">
      <c r="A65" s="26" t="n">
        <v>945</v>
      </c>
      <c r="B65" s="26" t="s">
        <v>190</v>
      </c>
      <c r="C65" s="26" t="s">
        <v>191</v>
      </c>
      <c r="D65" s="27" t="s">
        <v>192</v>
      </c>
      <c r="E65" s="27" t="s">
        <v>219</v>
      </c>
      <c r="F65" s="27" t="s">
        <v>32</v>
      </c>
      <c r="G65" s="27" t="s">
        <v>220</v>
      </c>
      <c r="H65" s="27" t="s">
        <v>32</v>
      </c>
      <c r="I65" s="27" t="s">
        <v>220</v>
      </c>
    </row>
    <row r="66" customFormat="false" ht="15" hidden="false" customHeight="false" outlineLevel="0" collapsed="false">
      <c r="A66" s="26" t="n">
        <v>1030</v>
      </c>
      <c r="B66" s="26" t="s">
        <v>190</v>
      </c>
      <c r="C66" s="26" t="s">
        <v>200</v>
      </c>
      <c r="D66" s="27" t="s">
        <v>192</v>
      </c>
      <c r="E66" s="27" t="s">
        <v>201</v>
      </c>
      <c r="F66" s="27" t="s">
        <v>33</v>
      </c>
      <c r="G66" s="27"/>
      <c r="H66" s="27" t="s">
        <v>33</v>
      </c>
      <c r="I66" s="27"/>
    </row>
    <row r="67" customFormat="false" ht="23.85" hidden="false" customHeight="false" outlineLevel="0" collapsed="false">
      <c r="A67" s="26" t="n">
        <v>534</v>
      </c>
      <c r="B67" s="26" t="s">
        <v>221</v>
      </c>
      <c r="C67" s="26"/>
      <c r="D67" s="27"/>
      <c r="E67" s="27"/>
      <c r="F67" s="27"/>
      <c r="G67" s="27"/>
      <c r="H67" s="27" t="s">
        <v>222</v>
      </c>
      <c r="I67" s="27" t="s">
        <v>223</v>
      </c>
    </row>
    <row r="68" customFormat="false" ht="23.85" hidden="false" customHeight="false" outlineLevel="0" collapsed="false">
      <c r="A68" s="26" t="n">
        <v>537</v>
      </c>
      <c r="B68" s="26" t="s">
        <v>221</v>
      </c>
      <c r="C68" s="26"/>
      <c r="D68" s="27"/>
      <c r="E68" s="27"/>
      <c r="F68" s="27"/>
      <c r="G68" s="27"/>
      <c r="H68" s="27" t="s">
        <v>222</v>
      </c>
      <c r="I68" s="27" t="s">
        <v>224</v>
      </c>
    </row>
    <row r="69" customFormat="false" ht="46.25" hidden="false" customHeight="false" outlineLevel="0" collapsed="false">
      <c r="A69" s="26" t="n">
        <v>541</v>
      </c>
      <c r="B69" s="26" t="s">
        <v>221</v>
      </c>
      <c r="C69" s="26"/>
      <c r="D69" s="27"/>
      <c r="E69" s="27"/>
      <c r="F69" s="27" t="s">
        <v>222</v>
      </c>
      <c r="G69" s="27" t="s">
        <v>225</v>
      </c>
      <c r="H69" s="27"/>
      <c r="I69" s="27"/>
    </row>
    <row r="70" customFormat="false" ht="23.85" hidden="false" customHeight="false" outlineLevel="0" collapsed="false">
      <c r="A70" s="26" t="n">
        <v>542</v>
      </c>
      <c r="B70" s="26" t="s">
        <v>221</v>
      </c>
      <c r="C70" s="26"/>
      <c r="D70" s="27"/>
      <c r="E70" s="27"/>
      <c r="F70" s="27" t="s">
        <v>222</v>
      </c>
      <c r="G70" s="27" t="s">
        <v>226</v>
      </c>
      <c r="H70" s="27" t="s">
        <v>222</v>
      </c>
      <c r="I70" s="27" t="s">
        <v>226</v>
      </c>
    </row>
    <row r="71" customFormat="false" ht="23.85" hidden="false" customHeight="false" outlineLevel="0" collapsed="false">
      <c r="A71" s="26" t="n">
        <v>546</v>
      </c>
      <c r="B71" s="26" t="s">
        <v>221</v>
      </c>
      <c r="C71" s="26"/>
      <c r="D71" s="27"/>
      <c r="E71" s="27"/>
      <c r="F71" s="27" t="s">
        <v>222</v>
      </c>
      <c r="G71" s="27" t="s">
        <v>227</v>
      </c>
      <c r="H71" s="27"/>
      <c r="I71" s="27"/>
    </row>
    <row r="72" customFormat="false" ht="23.85" hidden="false" customHeight="false" outlineLevel="0" collapsed="false">
      <c r="A72" s="26" t="n">
        <v>548</v>
      </c>
      <c r="B72" s="26" t="s">
        <v>221</v>
      </c>
      <c r="C72" s="26"/>
      <c r="D72" s="27"/>
      <c r="E72" s="27"/>
      <c r="F72" s="27" t="s">
        <v>222</v>
      </c>
      <c r="G72" s="27" t="s">
        <v>228</v>
      </c>
      <c r="H72" s="27"/>
      <c r="I72" s="27"/>
    </row>
    <row r="73" customFormat="false" ht="35.05" hidden="false" customHeight="false" outlineLevel="0" collapsed="false">
      <c r="A73" s="26" t="n">
        <v>552</v>
      </c>
      <c r="B73" s="26" t="s">
        <v>221</v>
      </c>
      <c r="C73" s="26"/>
      <c r="D73" s="27"/>
      <c r="E73" s="27"/>
      <c r="F73" s="27" t="s">
        <v>222</v>
      </c>
      <c r="G73" s="27" t="s">
        <v>229</v>
      </c>
      <c r="H73" s="27" t="s">
        <v>222</v>
      </c>
      <c r="I73" s="27" t="s">
        <v>230</v>
      </c>
    </row>
    <row r="74" customFormat="false" ht="46.25" hidden="false" customHeight="false" outlineLevel="0" collapsed="false">
      <c r="A74" s="26" t="n">
        <v>553</v>
      </c>
      <c r="B74" s="26" t="s">
        <v>221</v>
      </c>
      <c r="C74" s="26"/>
      <c r="D74" s="27"/>
      <c r="E74" s="27"/>
      <c r="F74" s="27" t="s">
        <v>222</v>
      </c>
      <c r="G74" s="27" t="s">
        <v>231</v>
      </c>
      <c r="H74" s="27"/>
      <c r="I74" s="27"/>
    </row>
    <row r="75" customFormat="false" ht="23.85" hidden="false" customHeight="false" outlineLevel="0" collapsed="false">
      <c r="A75" s="26" t="n">
        <v>554</v>
      </c>
      <c r="B75" s="26" t="s">
        <v>221</v>
      </c>
      <c r="C75" s="26"/>
      <c r="D75" s="27"/>
      <c r="E75" s="27"/>
      <c r="F75" s="27" t="s">
        <v>222</v>
      </c>
      <c r="G75" s="27" t="s">
        <v>232</v>
      </c>
      <c r="H75" s="27"/>
      <c r="I75" s="27"/>
    </row>
    <row r="76" customFormat="false" ht="35.05" hidden="false" customHeight="false" outlineLevel="0" collapsed="false">
      <c r="A76" s="26" t="n">
        <v>555</v>
      </c>
      <c r="B76" s="26" t="s">
        <v>221</v>
      </c>
      <c r="C76" s="26"/>
      <c r="D76" s="27"/>
      <c r="E76" s="27"/>
      <c r="F76" s="27" t="s">
        <v>222</v>
      </c>
      <c r="G76" s="27" t="s">
        <v>233</v>
      </c>
      <c r="H76" s="27" t="s">
        <v>222</v>
      </c>
      <c r="I76" s="27" t="s">
        <v>234</v>
      </c>
    </row>
    <row r="77" customFormat="false" ht="46.25" hidden="false" customHeight="false" outlineLevel="0" collapsed="false">
      <c r="A77" s="26" t="n">
        <v>557</v>
      </c>
      <c r="B77" s="26" t="s">
        <v>221</v>
      </c>
      <c r="C77" s="26"/>
      <c r="D77" s="27"/>
      <c r="E77" s="27"/>
      <c r="F77" s="27" t="s">
        <v>222</v>
      </c>
      <c r="G77" s="27" t="s">
        <v>235</v>
      </c>
      <c r="H77" s="27" t="s">
        <v>222</v>
      </c>
      <c r="I77" s="27" t="s">
        <v>236</v>
      </c>
    </row>
    <row r="78" customFormat="false" ht="35.05" hidden="false" customHeight="false" outlineLevel="0" collapsed="false">
      <c r="A78" s="26" t="n">
        <v>558</v>
      </c>
      <c r="B78" s="26" t="s">
        <v>221</v>
      </c>
      <c r="C78" s="26"/>
      <c r="D78" s="27"/>
      <c r="E78" s="27"/>
      <c r="F78" s="27" t="s">
        <v>222</v>
      </c>
      <c r="G78" s="27" t="s">
        <v>237</v>
      </c>
      <c r="H78" s="27"/>
      <c r="I78" s="27"/>
    </row>
    <row r="79" customFormat="false" ht="23.85" hidden="false" customHeight="false" outlineLevel="0" collapsed="false">
      <c r="A79" s="26" t="n">
        <v>560</v>
      </c>
      <c r="B79" s="26" t="s">
        <v>221</v>
      </c>
      <c r="C79" s="26"/>
      <c r="D79" s="27"/>
      <c r="E79" s="27"/>
      <c r="F79" s="27" t="s">
        <v>222</v>
      </c>
      <c r="G79" s="27" t="s">
        <v>238</v>
      </c>
      <c r="H79" s="27"/>
      <c r="I79" s="27"/>
    </row>
    <row r="80" customFormat="false" ht="15" hidden="false" customHeight="false" outlineLevel="0" collapsed="false">
      <c r="A80" s="26" t="n">
        <v>561</v>
      </c>
      <c r="B80" s="26" t="s">
        <v>221</v>
      </c>
      <c r="C80" s="26"/>
      <c r="D80" s="27"/>
      <c r="E80" s="27"/>
      <c r="F80" s="27" t="s">
        <v>222</v>
      </c>
      <c r="G80" s="27" t="s">
        <v>239</v>
      </c>
      <c r="H80" s="27"/>
      <c r="I80" s="27"/>
    </row>
    <row r="81" customFormat="false" ht="23.85" hidden="false" customHeight="false" outlineLevel="0" collapsed="false">
      <c r="A81" s="26" t="n">
        <v>562</v>
      </c>
      <c r="B81" s="26" t="s">
        <v>221</v>
      </c>
      <c r="C81" s="26"/>
      <c r="D81" s="27"/>
      <c r="E81" s="27"/>
      <c r="F81" s="27" t="s">
        <v>222</v>
      </c>
      <c r="G81" s="27" t="s">
        <v>240</v>
      </c>
      <c r="H81" s="27" t="s">
        <v>222</v>
      </c>
      <c r="I81" s="27" t="s">
        <v>240</v>
      </c>
    </row>
    <row r="82" customFormat="false" ht="35.05" hidden="false" customHeight="false" outlineLevel="0" collapsed="false">
      <c r="A82" s="26" t="n">
        <v>564</v>
      </c>
      <c r="B82" s="26" t="s">
        <v>221</v>
      </c>
      <c r="C82" s="26"/>
      <c r="D82" s="27"/>
      <c r="E82" s="27"/>
      <c r="F82" s="27" t="s">
        <v>222</v>
      </c>
      <c r="G82" s="27" t="s">
        <v>213</v>
      </c>
      <c r="H82" s="27" t="s">
        <v>222</v>
      </c>
      <c r="I82" s="27" t="s">
        <v>213</v>
      </c>
    </row>
    <row r="83" customFormat="false" ht="35.05" hidden="false" customHeight="false" outlineLevel="0" collapsed="false">
      <c r="A83" s="26" t="n">
        <v>567</v>
      </c>
      <c r="B83" s="26" t="s">
        <v>221</v>
      </c>
      <c r="C83" s="26"/>
      <c r="D83" s="27"/>
      <c r="E83" s="27"/>
      <c r="F83" s="27" t="s">
        <v>222</v>
      </c>
      <c r="G83" s="27" t="s">
        <v>241</v>
      </c>
      <c r="H83" s="27" t="s">
        <v>222</v>
      </c>
      <c r="I83" s="27" t="s">
        <v>241</v>
      </c>
    </row>
    <row r="84" customFormat="false" ht="35.05" hidden="false" customHeight="false" outlineLevel="0" collapsed="false">
      <c r="A84" s="26" t="n">
        <v>571</v>
      </c>
      <c r="B84" s="26" t="s">
        <v>221</v>
      </c>
      <c r="C84" s="26"/>
      <c r="D84" s="27"/>
      <c r="E84" s="27"/>
      <c r="F84" s="27" t="s">
        <v>222</v>
      </c>
      <c r="G84" s="27" t="s">
        <v>242</v>
      </c>
      <c r="H84" s="27" t="s">
        <v>222</v>
      </c>
      <c r="I84" s="27" t="s">
        <v>242</v>
      </c>
    </row>
    <row r="85" customFormat="false" ht="23.85" hidden="false" customHeight="false" outlineLevel="0" collapsed="false">
      <c r="A85" s="26" t="n">
        <v>573</v>
      </c>
      <c r="B85" s="26" t="s">
        <v>221</v>
      </c>
      <c r="C85" s="26"/>
      <c r="D85" s="27"/>
      <c r="E85" s="27"/>
      <c r="F85" s="27" t="s">
        <v>222</v>
      </c>
      <c r="G85" s="27" t="s">
        <v>243</v>
      </c>
      <c r="H85" s="27"/>
      <c r="I85" s="27"/>
    </row>
    <row r="86" customFormat="false" ht="57.45" hidden="false" customHeight="false" outlineLevel="0" collapsed="false">
      <c r="A86" s="26" t="n">
        <v>576</v>
      </c>
      <c r="B86" s="26" t="s">
        <v>221</v>
      </c>
      <c r="C86" s="26"/>
      <c r="D86" s="27"/>
      <c r="E86" s="27"/>
      <c r="F86" s="27" t="s">
        <v>222</v>
      </c>
      <c r="G86" s="27" t="s">
        <v>244</v>
      </c>
      <c r="H86" s="27" t="s">
        <v>222</v>
      </c>
      <c r="I86" s="27" t="s">
        <v>245</v>
      </c>
    </row>
    <row r="87" customFormat="false" ht="35.05" hidden="false" customHeight="false" outlineLevel="0" collapsed="false">
      <c r="A87" s="26" t="n">
        <v>580</v>
      </c>
      <c r="B87" s="26" t="s">
        <v>221</v>
      </c>
      <c r="C87" s="26"/>
      <c r="D87" s="27"/>
      <c r="E87" s="27"/>
      <c r="F87" s="27" t="s">
        <v>222</v>
      </c>
      <c r="G87" s="27" t="s">
        <v>246</v>
      </c>
      <c r="H87" s="27" t="s">
        <v>222</v>
      </c>
      <c r="I87" s="27" t="s">
        <v>246</v>
      </c>
    </row>
    <row r="88" customFormat="false" ht="35.05" hidden="false" customHeight="false" outlineLevel="0" collapsed="false">
      <c r="A88" s="26" t="n">
        <v>583</v>
      </c>
      <c r="B88" s="26" t="s">
        <v>221</v>
      </c>
      <c r="C88" s="26"/>
      <c r="D88" s="27"/>
      <c r="E88" s="27"/>
      <c r="F88" s="27" t="s">
        <v>222</v>
      </c>
      <c r="G88" s="27" t="s">
        <v>247</v>
      </c>
      <c r="H88" s="27" t="s">
        <v>222</v>
      </c>
      <c r="I88" s="27" t="s">
        <v>247</v>
      </c>
    </row>
    <row r="89" customFormat="false" ht="35.05" hidden="false" customHeight="false" outlineLevel="0" collapsed="false">
      <c r="A89" s="26" t="n">
        <v>584</v>
      </c>
      <c r="B89" s="26" t="s">
        <v>221</v>
      </c>
      <c r="C89" s="26"/>
      <c r="D89" s="27"/>
      <c r="E89" s="27"/>
      <c r="F89" s="27" t="s">
        <v>222</v>
      </c>
      <c r="G89" s="27" t="s">
        <v>248</v>
      </c>
      <c r="H89" s="27"/>
      <c r="I89" s="27"/>
    </row>
    <row r="90" customFormat="false" ht="46.25" hidden="false" customHeight="false" outlineLevel="0" collapsed="false">
      <c r="A90" s="26" t="n">
        <v>586</v>
      </c>
      <c r="B90" s="26" t="s">
        <v>221</v>
      </c>
      <c r="C90" s="26"/>
      <c r="D90" s="27"/>
      <c r="E90" s="27"/>
      <c r="F90" s="27" t="s">
        <v>222</v>
      </c>
      <c r="G90" s="27" t="s">
        <v>249</v>
      </c>
      <c r="H90" s="27" t="s">
        <v>222</v>
      </c>
      <c r="I90" s="27" t="s">
        <v>249</v>
      </c>
    </row>
    <row r="91" customFormat="false" ht="35.05" hidden="false" customHeight="false" outlineLevel="0" collapsed="false">
      <c r="A91" s="26" t="n">
        <v>588</v>
      </c>
      <c r="B91" s="26" t="s">
        <v>221</v>
      </c>
      <c r="C91" s="26"/>
      <c r="D91" s="27"/>
      <c r="E91" s="27"/>
      <c r="F91" s="27" t="s">
        <v>222</v>
      </c>
      <c r="G91" s="27" t="s">
        <v>250</v>
      </c>
      <c r="H91" s="27"/>
      <c r="I91" s="27"/>
    </row>
    <row r="92" customFormat="false" ht="23.85" hidden="false" customHeight="false" outlineLevel="0" collapsed="false">
      <c r="A92" s="26" t="n">
        <v>589</v>
      </c>
      <c r="B92" s="26" t="s">
        <v>221</v>
      </c>
      <c r="C92" s="26"/>
      <c r="D92" s="27"/>
      <c r="E92" s="27"/>
      <c r="F92" s="27" t="s">
        <v>222</v>
      </c>
      <c r="G92" s="27" t="s">
        <v>251</v>
      </c>
      <c r="H92" s="27"/>
      <c r="I92" s="27"/>
    </row>
    <row r="93" customFormat="false" ht="35.05" hidden="false" customHeight="false" outlineLevel="0" collapsed="false">
      <c r="A93" s="26" t="n">
        <v>590</v>
      </c>
      <c r="B93" s="26" t="s">
        <v>221</v>
      </c>
      <c r="C93" s="26"/>
      <c r="D93" s="27"/>
      <c r="E93" s="27"/>
      <c r="F93" s="27" t="s">
        <v>222</v>
      </c>
      <c r="G93" s="27" t="s">
        <v>252</v>
      </c>
      <c r="H93" s="27" t="s">
        <v>222</v>
      </c>
      <c r="I93" s="27" t="s">
        <v>253</v>
      </c>
    </row>
    <row r="94" customFormat="false" ht="46.25" hidden="false" customHeight="false" outlineLevel="0" collapsed="false">
      <c r="A94" s="26" t="n">
        <v>595</v>
      </c>
      <c r="B94" s="26" t="s">
        <v>221</v>
      </c>
      <c r="C94" s="26"/>
      <c r="D94" s="27"/>
      <c r="E94" s="27"/>
      <c r="F94" s="27" t="s">
        <v>222</v>
      </c>
      <c r="G94" s="27" t="s">
        <v>254</v>
      </c>
      <c r="H94" s="27" t="s">
        <v>222</v>
      </c>
      <c r="I94" s="27" t="s">
        <v>254</v>
      </c>
    </row>
    <row r="95" customFormat="false" ht="68.65" hidden="false" customHeight="false" outlineLevel="0" collapsed="false">
      <c r="A95" s="26" t="n">
        <v>596</v>
      </c>
      <c r="B95" s="26" t="s">
        <v>221</v>
      </c>
      <c r="C95" s="26"/>
      <c r="D95" s="27"/>
      <c r="E95" s="27"/>
      <c r="F95" s="27" t="s">
        <v>222</v>
      </c>
      <c r="G95" s="27" t="s">
        <v>255</v>
      </c>
      <c r="H95" s="27" t="s">
        <v>222</v>
      </c>
      <c r="I95" s="27" t="s">
        <v>255</v>
      </c>
    </row>
    <row r="96" customFormat="false" ht="23.85" hidden="false" customHeight="false" outlineLevel="0" collapsed="false">
      <c r="A96" s="26" t="n">
        <v>600</v>
      </c>
      <c r="B96" s="26" t="s">
        <v>221</v>
      </c>
      <c r="C96" s="26"/>
      <c r="D96" s="27"/>
      <c r="E96" s="27"/>
      <c r="F96" s="27" t="s">
        <v>222</v>
      </c>
      <c r="G96" s="27" t="s">
        <v>256</v>
      </c>
      <c r="H96" s="27" t="s">
        <v>222</v>
      </c>
      <c r="I96" s="27" t="s">
        <v>256</v>
      </c>
    </row>
    <row r="97" customFormat="false" ht="23.85" hidden="false" customHeight="false" outlineLevel="0" collapsed="false">
      <c r="A97" s="26" t="n">
        <v>603</v>
      </c>
      <c r="B97" s="26" t="s">
        <v>221</v>
      </c>
      <c r="C97" s="26"/>
      <c r="D97" s="27"/>
      <c r="E97" s="27"/>
      <c r="F97" s="27" t="s">
        <v>222</v>
      </c>
      <c r="G97" s="27" t="s">
        <v>257</v>
      </c>
      <c r="H97" s="27"/>
      <c r="I97" s="27"/>
    </row>
    <row r="98" customFormat="false" ht="23.85" hidden="false" customHeight="false" outlineLevel="0" collapsed="false">
      <c r="A98" s="26" t="n">
        <v>604</v>
      </c>
      <c r="B98" s="26" t="s">
        <v>221</v>
      </c>
      <c r="C98" s="26"/>
      <c r="D98" s="27"/>
      <c r="E98" s="27"/>
      <c r="F98" s="27"/>
      <c r="G98" s="27"/>
      <c r="H98" s="27" t="s">
        <v>222</v>
      </c>
      <c r="I98" s="27" t="s">
        <v>258</v>
      </c>
    </row>
    <row r="99" customFormat="false" ht="23.85" hidden="false" customHeight="false" outlineLevel="0" collapsed="false">
      <c r="A99" s="26" t="n">
        <v>606</v>
      </c>
      <c r="B99" s="26" t="s">
        <v>221</v>
      </c>
      <c r="C99" s="26"/>
      <c r="D99" s="27"/>
      <c r="E99" s="27"/>
      <c r="F99" s="27" t="s">
        <v>222</v>
      </c>
      <c r="G99" s="27" t="s">
        <v>259</v>
      </c>
      <c r="H99" s="27"/>
      <c r="I99" s="27"/>
    </row>
    <row r="100" customFormat="false" ht="35.05" hidden="false" customHeight="false" outlineLevel="0" collapsed="false">
      <c r="A100" s="26" t="n">
        <v>607</v>
      </c>
      <c r="B100" s="26" t="s">
        <v>221</v>
      </c>
      <c r="C100" s="26"/>
      <c r="D100" s="27"/>
      <c r="E100" s="27"/>
      <c r="F100" s="27" t="s">
        <v>222</v>
      </c>
      <c r="G100" s="27" t="s">
        <v>260</v>
      </c>
      <c r="H100" s="27" t="s">
        <v>222</v>
      </c>
      <c r="I100" s="27" t="s">
        <v>260</v>
      </c>
    </row>
    <row r="101" customFormat="false" ht="46.25" hidden="false" customHeight="false" outlineLevel="0" collapsed="false">
      <c r="A101" s="26" t="n">
        <v>608</v>
      </c>
      <c r="B101" s="26" t="s">
        <v>221</v>
      </c>
      <c r="C101" s="26"/>
      <c r="D101" s="27"/>
      <c r="E101" s="27"/>
      <c r="F101" s="27" t="s">
        <v>222</v>
      </c>
      <c r="G101" s="27" t="s">
        <v>261</v>
      </c>
      <c r="H101" s="27" t="s">
        <v>222</v>
      </c>
      <c r="I101" s="27" t="s">
        <v>261</v>
      </c>
    </row>
    <row r="102" customFormat="false" ht="35.05" hidden="false" customHeight="false" outlineLevel="0" collapsed="false">
      <c r="A102" s="26" t="n">
        <v>609</v>
      </c>
      <c r="B102" s="26" t="s">
        <v>221</v>
      </c>
      <c r="C102" s="26"/>
      <c r="D102" s="27"/>
      <c r="E102" s="27"/>
      <c r="F102" s="27" t="s">
        <v>222</v>
      </c>
      <c r="G102" s="27" t="s">
        <v>262</v>
      </c>
      <c r="H102" s="27"/>
      <c r="I102" s="27"/>
    </row>
    <row r="103" customFormat="false" ht="79.85" hidden="false" customHeight="false" outlineLevel="0" collapsed="false">
      <c r="A103" s="26" t="n">
        <v>610</v>
      </c>
      <c r="B103" s="26" t="s">
        <v>221</v>
      </c>
      <c r="C103" s="26"/>
      <c r="D103" s="27"/>
      <c r="E103" s="27"/>
      <c r="F103" s="27" t="s">
        <v>222</v>
      </c>
      <c r="G103" s="27" t="s">
        <v>263</v>
      </c>
      <c r="H103" s="27" t="s">
        <v>222</v>
      </c>
      <c r="I103" s="27" t="s">
        <v>263</v>
      </c>
    </row>
    <row r="104" customFormat="false" ht="23.85" hidden="false" customHeight="false" outlineLevel="0" collapsed="false">
      <c r="A104" s="26" t="n">
        <v>612</v>
      </c>
      <c r="B104" s="26" t="s">
        <v>221</v>
      </c>
      <c r="C104" s="26"/>
      <c r="D104" s="27"/>
      <c r="E104" s="27"/>
      <c r="F104" s="27" t="s">
        <v>222</v>
      </c>
      <c r="G104" s="27" t="s">
        <v>264</v>
      </c>
      <c r="H104" s="27" t="s">
        <v>222</v>
      </c>
      <c r="I104" s="27" t="s">
        <v>264</v>
      </c>
    </row>
    <row r="105" customFormat="false" ht="23.85" hidden="false" customHeight="false" outlineLevel="0" collapsed="false">
      <c r="A105" s="26" t="n">
        <v>613</v>
      </c>
      <c r="B105" s="26" t="s">
        <v>221</v>
      </c>
      <c r="C105" s="26"/>
      <c r="D105" s="27"/>
      <c r="E105" s="27"/>
      <c r="F105" s="27" t="s">
        <v>222</v>
      </c>
      <c r="G105" s="27" t="s">
        <v>265</v>
      </c>
      <c r="H105" s="27"/>
      <c r="I105" s="27"/>
    </row>
    <row r="106" customFormat="false" ht="23.85" hidden="false" customHeight="false" outlineLevel="0" collapsed="false">
      <c r="A106" s="26" t="n">
        <v>615</v>
      </c>
      <c r="B106" s="26" t="s">
        <v>221</v>
      </c>
      <c r="C106" s="26"/>
      <c r="D106" s="27"/>
      <c r="E106" s="27"/>
      <c r="F106" s="27" t="s">
        <v>222</v>
      </c>
      <c r="G106" s="27" t="s">
        <v>266</v>
      </c>
      <c r="H106" s="27"/>
      <c r="I106" s="27"/>
    </row>
    <row r="107" customFormat="false" ht="57.45" hidden="false" customHeight="false" outlineLevel="0" collapsed="false">
      <c r="A107" s="26" t="n">
        <v>617</v>
      </c>
      <c r="B107" s="26" t="s">
        <v>221</v>
      </c>
      <c r="C107" s="26"/>
      <c r="D107" s="27"/>
      <c r="E107" s="27"/>
      <c r="F107" s="27" t="s">
        <v>222</v>
      </c>
      <c r="G107" s="27" t="s">
        <v>267</v>
      </c>
      <c r="H107" s="27" t="s">
        <v>222</v>
      </c>
      <c r="I107" s="27" t="s">
        <v>267</v>
      </c>
    </row>
    <row r="108" customFormat="false" ht="46.25" hidden="false" customHeight="false" outlineLevel="0" collapsed="false">
      <c r="A108" s="26" t="n">
        <v>621</v>
      </c>
      <c r="B108" s="26" t="s">
        <v>221</v>
      </c>
      <c r="C108" s="26"/>
      <c r="D108" s="27"/>
      <c r="E108" s="27"/>
      <c r="F108" s="27" t="s">
        <v>222</v>
      </c>
      <c r="G108" s="27" t="s">
        <v>268</v>
      </c>
      <c r="H108" s="27" t="s">
        <v>222</v>
      </c>
      <c r="I108" s="27" t="s">
        <v>268</v>
      </c>
    </row>
    <row r="109" customFormat="false" ht="23.85" hidden="false" customHeight="false" outlineLevel="0" collapsed="false">
      <c r="A109" s="26" t="n">
        <v>622</v>
      </c>
      <c r="B109" s="26" t="s">
        <v>221</v>
      </c>
      <c r="C109" s="26"/>
      <c r="D109" s="27"/>
      <c r="E109" s="27"/>
      <c r="F109" s="27" t="s">
        <v>222</v>
      </c>
      <c r="G109" s="27" t="s">
        <v>269</v>
      </c>
      <c r="H109" s="27"/>
      <c r="I109" s="27"/>
    </row>
    <row r="110" customFormat="false" ht="23.85" hidden="false" customHeight="false" outlineLevel="0" collapsed="false">
      <c r="A110" s="26" t="n">
        <v>623</v>
      </c>
      <c r="B110" s="26" t="s">
        <v>221</v>
      </c>
      <c r="C110" s="26"/>
      <c r="D110" s="27"/>
      <c r="E110" s="27"/>
      <c r="F110" s="27" t="s">
        <v>222</v>
      </c>
      <c r="G110" s="27" t="s">
        <v>270</v>
      </c>
      <c r="H110" s="27"/>
      <c r="I110" s="27"/>
    </row>
    <row r="111" customFormat="false" ht="15" hidden="false" customHeight="false" outlineLevel="0" collapsed="false">
      <c r="A111" s="26" t="n">
        <v>629</v>
      </c>
      <c r="B111" s="26" t="s">
        <v>221</v>
      </c>
      <c r="C111" s="26"/>
      <c r="D111" s="27"/>
      <c r="E111" s="27"/>
      <c r="F111" s="27"/>
      <c r="G111" s="27"/>
      <c r="H111" s="27" t="s">
        <v>222</v>
      </c>
      <c r="I111" s="27" t="s">
        <v>271</v>
      </c>
    </row>
    <row r="112" customFormat="false" ht="23.85" hidden="false" customHeight="false" outlineLevel="0" collapsed="false">
      <c r="A112" s="26" t="n">
        <v>650</v>
      </c>
      <c r="B112" s="26" t="s">
        <v>221</v>
      </c>
      <c r="C112" s="26"/>
      <c r="D112" s="27"/>
      <c r="E112" s="27"/>
      <c r="F112" s="27" t="s">
        <v>222</v>
      </c>
      <c r="G112" s="27" t="s">
        <v>272</v>
      </c>
      <c r="H112" s="27" t="s">
        <v>222</v>
      </c>
      <c r="I112" s="27" t="s">
        <v>272</v>
      </c>
    </row>
    <row r="113" customFormat="false" ht="46.25" hidden="false" customHeight="false" outlineLevel="0" collapsed="false">
      <c r="A113" s="26" t="n">
        <v>653</v>
      </c>
      <c r="B113" s="26" t="s">
        <v>221</v>
      </c>
      <c r="C113" s="26"/>
      <c r="D113" s="27"/>
      <c r="E113" s="27"/>
      <c r="F113" s="27" t="s">
        <v>222</v>
      </c>
      <c r="G113" s="27" t="s">
        <v>273</v>
      </c>
      <c r="H113" s="27" t="s">
        <v>222</v>
      </c>
      <c r="I113" s="27" t="s">
        <v>274</v>
      </c>
    </row>
    <row r="114" customFormat="false" ht="68.65" hidden="false" customHeight="false" outlineLevel="0" collapsed="false">
      <c r="A114" s="26" t="n">
        <v>654</v>
      </c>
      <c r="B114" s="26" t="s">
        <v>221</v>
      </c>
      <c r="C114" s="26"/>
      <c r="D114" s="27"/>
      <c r="E114" s="27"/>
      <c r="F114" s="27" t="s">
        <v>222</v>
      </c>
      <c r="G114" s="27" t="s">
        <v>275</v>
      </c>
      <c r="H114" s="27" t="s">
        <v>222</v>
      </c>
      <c r="I114" s="27" t="s">
        <v>276</v>
      </c>
    </row>
    <row r="115" customFormat="false" ht="91" hidden="false" customHeight="false" outlineLevel="0" collapsed="false">
      <c r="A115" s="26" t="n">
        <v>657</v>
      </c>
      <c r="B115" s="26" t="s">
        <v>221</v>
      </c>
      <c r="C115" s="26"/>
      <c r="D115" s="27"/>
      <c r="E115" s="27"/>
      <c r="F115" s="27" t="s">
        <v>222</v>
      </c>
      <c r="G115" s="27" t="s">
        <v>277</v>
      </c>
      <c r="H115" s="27" t="s">
        <v>222</v>
      </c>
      <c r="I115" s="27" t="s">
        <v>277</v>
      </c>
    </row>
    <row r="116" customFormat="false" ht="15" hidden="false" customHeight="false" outlineLevel="0" collapsed="false">
      <c r="A116" s="26" t="n">
        <v>658</v>
      </c>
      <c r="B116" s="26" t="s">
        <v>221</v>
      </c>
      <c r="C116" s="26"/>
      <c r="D116" s="27"/>
      <c r="E116" s="27"/>
      <c r="F116" s="27"/>
      <c r="G116" s="27"/>
      <c r="H116" s="27" t="s">
        <v>222</v>
      </c>
      <c r="I116" s="27" t="s">
        <v>278</v>
      </c>
    </row>
    <row r="117" customFormat="false" ht="46.25" hidden="false" customHeight="false" outlineLevel="0" collapsed="false">
      <c r="A117" s="26" t="n">
        <v>661</v>
      </c>
      <c r="B117" s="26" t="s">
        <v>221</v>
      </c>
      <c r="C117" s="26"/>
      <c r="D117" s="27"/>
      <c r="E117" s="27"/>
      <c r="F117" s="27" t="s">
        <v>222</v>
      </c>
      <c r="G117" s="27" t="s">
        <v>279</v>
      </c>
      <c r="H117" s="27"/>
      <c r="I117" s="27"/>
    </row>
    <row r="118" customFormat="false" ht="23.85" hidden="false" customHeight="false" outlineLevel="0" collapsed="false">
      <c r="A118" s="26" t="n">
        <v>663</v>
      </c>
      <c r="B118" s="26" t="s">
        <v>221</v>
      </c>
      <c r="C118" s="26"/>
      <c r="D118" s="27"/>
      <c r="E118" s="27"/>
      <c r="F118" s="27" t="s">
        <v>222</v>
      </c>
      <c r="G118" s="27" t="s">
        <v>280</v>
      </c>
      <c r="H118" s="27" t="s">
        <v>222</v>
      </c>
      <c r="I118" s="27" t="s">
        <v>280</v>
      </c>
    </row>
    <row r="119" customFormat="false" ht="23.85" hidden="false" customHeight="false" outlineLevel="0" collapsed="false">
      <c r="A119" s="26" t="n">
        <v>664</v>
      </c>
      <c r="B119" s="26" t="s">
        <v>221</v>
      </c>
      <c r="C119" s="26"/>
      <c r="D119" s="27"/>
      <c r="E119" s="27"/>
      <c r="F119" s="27" t="s">
        <v>222</v>
      </c>
      <c r="G119" s="27" t="s">
        <v>281</v>
      </c>
      <c r="H119" s="27"/>
      <c r="I119" s="27"/>
    </row>
    <row r="120" customFormat="false" ht="46.25" hidden="false" customHeight="false" outlineLevel="0" collapsed="false">
      <c r="A120" s="26" t="n">
        <v>665</v>
      </c>
      <c r="B120" s="26" t="s">
        <v>221</v>
      </c>
      <c r="C120" s="26"/>
      <c r="D120" s="27"/>
      <c r="E120" s="27"/>
      <c r="F120" s="27" t="s">
        <v>222</v>
      </c>
      <c r="G120" s="27" t="s">
        <v>282</v>
      </c>
      <c r="H120" s="27" t="s">
        <v>222</v>
      </c>
      <c r="I120" s="27" t="s">
        <v>282</v>
      </c>
    </row>
    <row r="121" customFormat="false" ht="35.05" hidden="false" customHeight="false" outlineLevel="0" collapsed="false">
      <c r="A121" s="26" t="n">
        <v>666</v>
      </c>
      <c r="B121" s="26" t="s">
        <v>221</v>
      </c>
      <c r="C121" s="26"/>
      <c r="D121" s="27"/>
      <c r="E121" s="27"/>
      <c r="F121" s="27" t="s">
        <v>222</v>
      </c>
      <c r="G121" s="27" t="s">
        <v>283</v>
      </c>
      <c r="H121" s="27" t="s">
        <v>222</v>
      </c>
      <c r="I121" s="27" t="s">
        <v>284</v>
      </c>
    </row>
    <row r="122" customFormat="false" ht="15" hidden="false" customHeight="false" outlineLevel="0" collapsed="false">
      <c r="A122" s="26" t="n">
        <v>669</v>
      </c>
      <c r="B122" s="26" t="s">
        <v>221</v>
      </c>
      <c r="C122" s="26"/>
      <c r="D122" s="27"/>
      <c r="E122" s="27"/>
      <c r="F122" s="27" t="s">
        <v>222</v>
      </c>
      <c r="G122" s="27" t="s">
        <v>285</v>
      </c>
      <c r="H122" s="27"/>
      <c r="I122" s="27"/>
    </row>
    <row r="123" customFormat="false" ht="23.85" hidden="false" customHeight="false" outlineLevel="0" collapsed="false">
      <c r="A123" s="26" t="n">
        <v>677</v>
      </c>
      <c r="B123" s="26" t="s">
        <v>221</v>
      </c>
      <c r="C123" s="26"/>
      <c r="D123" s="27"/>
      <c r="E123" s="27"/>
      <c r="F123" s="27" t="s">
        <v>222</v>
      </c>
      <c r="G123" s="27" t="s">
        <v>286</v>
      </c>
      <c r="H123" s="27"/>
      <c r="I123" s="27"/>
    </row>
    <row r="124" customFormat="false" ht="23.85" hidden="false" customHeight="false" outlineLevel="0" collapsed="false">
      <c r="A124" s="26" t="n">
        <v>680</v>
      </c>
      <c r="B124" s="26" t="s">
        <v>221</v>
      </c>
      <c r="C124" s="26"/>
      <c r="D124" s="27"/>
      <c r="E124" s="27"/>
      <c r="F124" s="27" t="s">
        <v>222</v>
      </c>
      <c r="G124" s="27" t="s">
        <v>287</v>
      </c>
      <c r="H124" s="27" t="s">
        <v>222</v>
      </c>
      <c r="I124" s="27" t="s">
        <v>287</v>
      </c>
    </row>
    <row r="125" customFormat="false" ht="35.05" hidden="false" customHeight="false" outlineLevel="0" collapsed="false">
      <c r="A125" s="26" t="n">
        <v>682</v>
      </c>
      <c r="B125" s="26" t="s">
        <v>221</v>
      </c>
      <c r="C125" s="26"/>
      <c r="D125" s="27"/>
      <c r="E125" s="27"/>
      <c r="F125" s="27" t="s">
        <v>222</v>
      </c>
      <c r="G125" s="27" t="s">
        <v>288</v>
      </c>
      <c r="H125" s="27" t="s">
        <v>222</v>
      </c>
      <c r="I125" s="27" t="s">
        <v>288</v>
      </c>
    </row>
    <row r="126" customFormat="false" ht="57.45" hidden="false" customHeight="false" outlineLevel="0" collapsed="false">
      <c r="A126" s="26" t="n">
        <v>684</v>
      </c>
      <c r="B126" s="26" t="s">
        <v>221</v>
      </c>
      <c r="C126" s="26"/>
      <c r="D126" s="27"/>
      <c r="E126" s="27"/>
      <c r="F126" s="27" t="s">
        <v>222</v>
      </c>
      <c r="G126" s="27" t="s">
        <v>289</v>
      </c>
      <c r="H126" s="27" t="s">
        <v>222</v>
      </c>
      <c r="I126" s="27" t="s">
        <v>290</v>
      </c>
    </row>
    <row r="127" customFormat="false" ht="23.85" hidden="false" customHeight="false" outlineLevel="0" collapsed="false">
      <c r="A127" s="26" t="n">
        <v>685</v>
      </c>
      <c r="B127" s="26" t="s">
        <v>221</v>
      </c>
      <c r="C127" s="26"/>
      <c r="D127" s="27"/>
      <c r="E127" s="27"/>
      <c r="F127" s="27" t="s">
        <v>222</v>
      </c>
      <c r="G127" s="27" t="s">
        <v>291</v>
      </c>
      <c r="H127" s="27"/>
      <c r="I127" s="27"/>
    </row>
    <row r="128" customFormat="false" ht="68.65" hidden="false" customHeight="false" outlineLevel="0" collapsed="false">
      <c r="A128" s="26" t="n">
        <v>686</v>
      </c>
      <c r="B128" s="26" t="s">
        <v>221</v>
      </c>
      <c r="C128" s="26"/>
      <c r="D128" s="27"/>
      <c r="E128" s="27"/>
      <c r="F128" s="27" t="s">
        <v>222</v>
      </c>
      <c r="G128" s="27" t="s">
        <v>292</v>
      </c>
      <c r="H128" s="27" t="s">
        <v>222</v>
      </c>
      <c r="I128" s="27" t="s">
        <v>292</v>
      </c>
    </row>
    <row r="129" customFormat="false" ht="35.05" hidden="false" customHeight="false" outlineLevel="0" collapsed="false">
      <c r="A129" s="26" t="n">
        <v>688</v>
      </c>
      <c r="B129" s="26" t="s">
        <v>221</v>
      </c>
      <c r="C129" s="26"/>
      <c r="D129" s="27"/>
      <c r="E129" s="27"/>
      <c r="F129" s="27" t="s">
        <v>222</v>
      </c>
      <c r="G129" s="27" t="s">
        <v>293</v>
      </c>
      <c r="H129" s="27" t="s">
        <v>222</v>
      </c>
      <c r="I129" s="27" t="s">
        <v>293</v>
      </c>
    </row>
    <row r="130" customFormat="false" ht="35.05" hidden="false" customHeight="false" outlineLevel="0" collapsed="false">
      <c r="A130" s="26" t="n">
        <v>689</v>
      </c>
      <c r="B130" s="26" t="s">
        <v>221</v>
      </c>
      <c r="C130" s="26"/>
      <c r="D130" s="27"/>
      <c r="E130" s="27"/>
      <c r="F130" s="27" t="s">
        <v>222</v>
      </c>
      <c r="G130" s="27" t="s">
        <v>294</v>
      </c>
      <c r="H130" s="27" t="s">
        <v>222</v>
      </c>
      <c r="I130" s="27" t="s">
        <v>294</v>
      </c>
    </row>
    <row r="131" customFormat="false" ht="15" hidden="false" customHeight="false" outlineLevel="0" collapsed="false">
      <c r="A131" s="26" t="n">
        <v>690</v>
      </c>
      <c r="B131" s="26" t="s">
        <v>221</v>
      </c>
      <c r="C131" s="26"/>
      <c r="D131" s="27"/>
      <c r="E131" s="27"/>
      <c r="F131" s="27"/>
      <c r="G131" s="27"/>
      <c r="H131" s="27" t="s">
        <v>222</v>
      </c>
      <c r="I131" s="27" t="s">
        <v>295</v>
      </c>
    </row>
    <row r="132" customFormat="false" ht="91" hidden="false" customHeight="false" outlineLevel="0" collapsed="false">
      <c r="A132" s="26" t="n">
        <v>693</v>
      </c>
      <c r="B132" s="26" t="s">
        <v>221</v>
      </c>
      <c r="C132" s="26"/>
      <c r="D132" s="27"/>
      <c r="E132" s="27"/>
      <c r="F132" s="27" t="s">
        <v>222</v>
      </c>
      <c r="G132" s="27" t="s">
        <v>296</v>
      </c>
      <c r="H132" s="27" t="s">
        <v>222</v>
      </c>
      <c r="I132" s="27" t="s">
        <v>296</v>
      </c>
    </row>
    <row r="133" customFormat="false" ht="68.65" hidden="false" customHeight="false" outlineLevel="0" collapsed="false">
      <c r="A133" s="26" t="n">
        <v>698</v>
      </c>
      <c r="B133" s="26" t="s">
        <v>221</v>
      </c>
      <c r="C133" s="26"/>
      <c r="D133" s="27"/>
      <c r="E133" s="27"/>
      <c r="F133" s="27" t="s">
        <v>222</v>
      </c>
      <c r="G133" s="27" t="s">
        <v>297</v>
      </c>
      <c r="H133" s="27" t="s">
        <v>222</v>
      </c>
      <c r="I133" s="27" t="s">
        <v>297</v>
      </c>
    </row>
    <row r="134" customFormat="false" ht="68.65" hidden="false" customHeight="false" outlineLevel="0" collapsed="false">
      <c r="A134" s="26" t="n">
        <v>706</v>
      </c>
      <c r="B134" s="26" t="s">
        <v>221</v>
      </c>
      <c r="C134" s="26"/>
      <c r="D134" s="27"/>
      <c r="E134" s="27"/>
      <c r="F134" s="27" t="s">
        <v>222</v>
      </c>
      <c r="G134" s="27" t="s">
        <v>298</v>
      </c>
      <c r="H134" s="27" t="s">
        <v>222</v>
      </c>
      <c r="I134" s="27" t="s">
        <v>299</v>
      </c>
    </row>
    <row r="135" customFormat="false" ht="35.05" hidden="false" customHeight="false" outlineLevel="0" collapsed="false">
      <c r="A135" s="26" t="n">
        <v>707</v>
      </c>
      <c r="B135" s="26" t="s">
        <v>221</v>
      </c>
      <c r="C135" s="26"/>
      <c r="D135" s="27"/>
      <c r="E135" s="27"/>
      <c r="F135" s="27" t="s">
        <v>222</v>
      </c>
      <c r="G135" s="27" t="s">
        <v>300</v>
      </c>
      <c r="H135" s="27" t="s">
        <v>222</v>
      </c>
      <c r="I135" s="27" t="s">
        <v>301</v>
      </c>
    </row>
    <row r="136" customFormat="false" ht="35.05" hidden="false" customHeight="false" outlineLevel="0" collapsed="false">
      <c r="A136" s="26" t="n">
        <v>712</v>
      </c>
      <c r="B136" s="26" t="s">
        <v>221</v>
      </c>
      <c r="C136" s="26"/>
      <c r="D136" s="27"/>
      <c r="E136" s="27"/>
      <c r="F136" s="27" t="s">
        <v>222</v>
      </c>
      <c r="G136" s="27" t="s">
        <v>302</v>
      </c>
      <c r="H136" s="27" t="s">
        <v>222</v>
      </c>
      <c r="I136" s="27" t="s">
        <v>303</v>
      </c>
    </row>
    <row r="137" customFormat="false" ht="46.25" hidden="false" customHeight="false" outlineLevel="0" collapsed="false">
      <c r="A137" s="26" t="n">
        <v>713</v>
      </c>
      <c r="B137" s="26" t="s">
        <v>221</v>
      </c>
      <c r="C137" s="26"/>
      <c r="D137" s="27"/>
      <c r="E137" s="27"/>
      <c r="F137" s="27" t="s">
        <v>222</v>
      </c>
      <c r="G137" s="27" t="s">
        <v>304</v>
      </c>
      <c r="H137" s="27" t="s">
        <v>222</v>
      </c>
      <c r="I137" s="27" t="s">
        <v>305</v>
      </c>
    </row>
    <row r="138" customFormat="false" ht="35.05" hidden="false" customHeight="false" outlineLevel="0" collapsed="false">
      <c r="A138" s="26" t="n">
        <v>714</v>
      </c>
      <c r="B138" s="26" t="s">
        <v>221</v>
      </c>
      <c r="C138" s="26"/>
      <c r="D138" s="27"/>
      <c r="E138" s="27"/>
      <c r="F138" s="27" t="s">
        <v>222</v>
      </c>
      <c r="G138" s="27" t="s">
        <v>306</v>
      </c>
      <c r="H138" s="27"/>
      <c r="I138" s="27"/>
    </row>
    <row r="139" customFormat="false" ht="46.25" hidden="false" customHeight="false" outlineLevel="0" collapsed="false">
      <c r="A139" s="26" t="n">
        <v>718</v>
      </c>
      <c r="B139" s="26" t="s">
        <v>221</v>
      </c>
      <c r="C139" s="26"/>
      <c r="D139" s="27"/>
      <c r="E139" s="27"/>
      <c r="F139" s="27" t="s">
        <v>222</v>
      </c>
      <c r="G139" s="27" t="s">
        <v>307</v>
      </c>
      <c r="H139" s="27" t="s">
        <v>222</v>
      </c>
      <c r="I139" s="27" t="s">
        <v>308</v>
      </c>
    </row>
    <row r="140" customFormat="false" ht="23.85" hidden="false" customHeight="false" outlineLevel="0" collapsed="false">
      <c r="A140" s="26" t="n">
        <v>720</v>
      </c>
      <c r="B140" s="26" t="s">
        <v>221</v>
      </c>
      <c r="C140" s="26"/>
      <c r="D140" s="27"/>
      <c r="E140" s="27"/>
      <c r="F140" s="27" t="s">
        <v>222</v>
      </c>
      <c r="G140" s="27" t="s">
        <v>309</v>
      </c>
      <c r="H140" s="27"/>
      <c r="I140" s="27"/>
    </row>
    <row r="141" customFormat="false" ht="23.85" hidden="false" customHeight="false" outlineLevel="0" collapsed="false">
      <c r="A141" s="26" t="n">
        <v>721</v>
      </c>
      <c r="B141" s="26" t="s">
        <v>221</v>
      </c>
      <c r="C141" s="26"/>
      <c r="D141" s="27"/>
      <c r="E141" s="27"/>
      <c r="F141" s="27"/>
      <c r="G141" s="27"/>
      <c r="H141" s="27" t="s">
        <v>222</v>
      </c>
      <c r="I141" s="27" t="s">
        <v>310</v>
      </c>
    </row>
    <row r="142" customFormat="false" ht="23.85" hidden="false" customHeight="false" outlineLevel="0" collapsed="false">
      <c r="A142" s="26" t="n">
        <v>723</v>
      </c>
      <c r="B142" s="26" t="s">
        <v>221</v>
      </c>
      <c r="C142" s="26"/>
      <c r="D142" s="27"/>
      <c r="E142" s="27"/>
      <c r="F142" s="27" t="s">
        <v>222</v>
      </c>
      <c r="G142" s="27" t="s">
        <v>311</v>
      </c>
      <c r="H142" s="27" t="s">
        <v>222</v>
      </c>
      <c r="I142" s="27" t="s">
        <v>311</v>
      </c>
    </row>
    <row r="143" customFormat="false" ht="46.25" hidden="false" customHeight="false" outlineLevel="0" collapsed="false">
      <c r="A143" s="26" t="n">
        <v>724</v>
      </c>
      <c r="B143" s="26" t="s">
        <v>221</v>
      </c>
      <c r="C143" s="26"/>
      <c r="D143" s="27"/>
      <c r="E143" s="27"/>
      <c r="F143" s="27" t="s">
        <v>222</v>
      </c>
      <c r="G143" s="27" t="s">
        <v>312</v>
      </c>
      <c r="H143" s="27" t="s">
        <v>222</v>
      </c>
      <c r="I143" s="27" t="s">
        <v>313</v>
      </c>
    </row>
    <row r="144" customFormat="false" ht="35.05" hidden="false" customHeight="false" outlineLevel="0" collapsed="false">
      <c r="A144" s="26" t="n">
        <v>729</v>
      </c>
      <c r="B144" s="26" t="s">
        <v>221</v>
      </c>
      <c r="C144" s="26"/>
      <c r="D144" s="27"/>
      <c r="E144" s="27"/>
      <c r="F144" s="27" t="s">
        <v>222</v>
      </c>
      <c r="G144" s="27" t="s">
        <v>314</v>
      </c>
      <c r="H144" s="27" t="s">
        <v>222</v>
      </c>
      <c r="I144" s="27" t="s">
        <v>280</v>
      </c>
    </row>
    <row r="145" customFormat="false" ht="35.05" hidden="false" customHeight="false" outlineLevel="0" collapsed="false">
      <c r="A145" s="26" t="n">
        <v>743</v>
      </c>
      <c r="B145" s="26" t="s">
        <v>221</v>
      </c>
      <c r="C145" s="26"/>
      <c r="D145" s="27"/>
      <c r="E145" s="27"/>
      <c r="F145" s="27" t="s">
        <v>222</v>
      </c>
      <c r="G145" s="27" t="s">
        <v>315</v>
      </c>
      <c r="H145" s="27" t="s">
        <v>222</v>
      </c>
      <c r="I145" s="27" t="s">
        <v>315</v>
      </c>
    </row>
    <row r="146" customFormat="false" ht="23.85" hidden="false" customHeight="false" outlineLevel="0" collapsed="false">
      <c r="A146" s="26" t="n">
        <v>745</v>
      </c>
      <c r="B146" s="26" t="s">
        <v>221</v>
      </c>
      <c r="C146" s="26"/>
      <c r="D146" s="27"/>
      <c r="E146" s="27"/>
      <c r="F146" s="27" t="s">
        <v>222</v>
      </c>
      <c r="G146" s="27" t="s">
        <v>316</v>
      </c>
      <c r="H146" s="27"/>
      <c r="I146" s="27"/>
    </row>
    <row r="147" customFormat="false" ht="57.45" hidden="false" customHeight="false" outlineLevel="0" collapsed="false">
      <c r="A147" s="26" t="n">
        <v>748</v>
      </c>
      <c r="B147" s="26" t="s">
        <v>221</v>
      </c>
      <c r="C147" s="26"/>
      <c r="D147" s="27"/>
      <c r="E147" s="27"/>
      <c r="F147" s="27" t="s">
        <v>222</v>
      </c>
      <c r="G147" s="27" t="s">
        <v>317</v>
      </c>
      <c r="H147" s="27" t="s">
        <v>222</v>
      </c>
      <c r="I147" s="27" t="s">
        <v>317</v>
      </c>
    </row>
    <row r="148" customFormat="false" ht="35.05" hidden="false" customHeight="false" outlineLevel="0" collapsed="false">
      <c r="A148" s="26" t="n">
        <v>752</v>
      </c>
      <c r="B148" s="26" t="s">
        <v>221</v>
      </c>
      <c r="C148" s="26"/>
      <c r="D148" s="27"/>
      <c r="E148" s="27"/>
      <c r="F148" s="27" t="s">
        <v>222</v>
      </c>
      <c r="G148" s="27" t="s">
        <v>318</v>
      </c>
      <c r="H148" s="27" t="s">
        <v>222</v>
      </c>
      <c r="I148" s="27" t="s">
        <v>318</v>
      </c>
    </row>
    <row r="149" customFormat="false" ht="15" hidden="false" customHeight="false" outlineLevel="0" collapsed="false">
      <c r="A149" s="26" t="n">
        <v>756</v>
      </c>
      <c r="B149" s="26" t="s">
        <v>221</v>
      </c>
      <c r="C149" s="26"/>
      <c r="D149" s="27"/>
      <c r="E149" s="27"/>
      <c r="F149" s="27" t="s">
        <v>222</v>
      </c>
      <c r="G149" s="27" t="s">
        <v>319</v>
      </c>
      <c r="H149" s="27"/>
      <c r="I149" s="27"/>
    </row>
    <row r="150" customFormat="false" ht="57.45" hidden="false" customHeight="false" outlineLevel="0" collapsed="false">
      <c r="A150" s="26" t="n">
        <v>768</v>
      </c>
      <c r="B150" s="26" t="s">
        <v>221</v>
      </c>
      <c r="C150" s="26"/>
      <c r="D150" s="27"/>
      <c r="E150" s="27"/>
      <c r="F150" s="27" t="s">
        <v>222</v>
      </c>
      <c r="G150" s="27" t="s">
        <v>320</v>
      </c>
      <c r="H150" s="27" t="s">
        <v>222</v>
      </c>
      <c r="I150" s="27" t="s">
        <v>321</v>
      </c>
    </row>
    <row r="151" customFormat="false" ht="15" hidden="false" customHeight="false" outlineLevel="0" collapsed="false">
      <c r="A151" s="26" t="n">
        <v>771</v>
      </c>
      <c r="B151" s="26" t="s">
        <v>221</v>
      </c>
      <c r="C151" s="26"/>
      <c r="D151" s="27"/>
      <c r="E151" s="27"/>
      <c r="F151" s="27" t="s">
        <v>222</v>
      </c>
      <c r="G151" s="27" t="s">
        <v>322</v>
      </c>
      <c r="H151" s="27"/>
      <c r="I151" s="27"/>
    </row>
    <row r="152" customFormat="false" ht="15" hidden="false" customHeight="false" outlineLevel="0" collapsed="false">
      <c r="A152" s="26" t="n">
        <v>774</v>
      </c>
      <c r="B152" s="26" t="s">
        <v>221</v>
      </c>
      <c r="C152" s="26"/>
      <c r="D152" s="27"/>
      <c r="E152" s="27"/>
      <c r="F152" s="27"/>
      <c r="G152" s="27"/>
      <c r="H152" s="27" t="s">
        <v>222</v>
      </c>
      <c r="I152" s="27" t="s">
        <v>323</v>
      </c>
    </row>
    <row r="153" customFormat="false" ht="23.85" hidden="false" customHeight="false" outlineLevel="0" collapsed="false">
      <c r="A153" s="26" t="n">
        <v>778</v>
      </c>
      <c r="B153" s="26" t="s">
        <v>221</v>
      </c>
      <c r="C153" s="26"/>
      <c r="D153" s="27"/>
      <c r="E153" s="27"/>
      <c r="F153" s="27" t="s">
        <v>222</v>
      </c>
      <c r="G153" s="27" t="s">
        <v>324</v>
      </c>
      <c r="H153" s="27"/>
      <c r="I153" s="27"/>
    </row>
    <row r="154" customFormat="false" ht="57.45" hidden="false" customHeight="false" outlineLevel="0" collapsed="false">
      <c r="A154" s="26" t="n">
        <v>780</v>
      </c>
      <c r="B154" s="26" t="s">
        <v>221</v>
      </c>
      <c r="C154" s="26"/>
      <c r="D154" s="27"/>
      <c r="E154" s="27"/>
      <c r="F154" s="27" t="s">
        <v>222</v>
      </c>
      <c r="G154" s="27" t="s">
        <v>325</v>
      </c>
      <c r="H154" s="27" t="s">
        <v>222</v>
      </c>
      <c r="I154" s="27" t="s">
        <v>326</v>
      </c>
    </row>
    <row r="155" customFormat="false" ht="15" hidden="false" customHeight="false" outlineLevel="0" collapsed="false">
      <c r="A155" s="26" t="n">
        <v>781</v>
      </c>
      <c r="B155" s="26" t="s">
        <v>221</v>
      </c>
      <c r="C155" s="26"/>
      <c r="D155" s="27"/>
      <c r="E155" s="27"/>
      <c r="F155" s="27" t="s">
        <v>222</v>
      </c>
      <c r="G155" s="27" t="s">
        <v>327</v>
      </c>
      <c r="H155" s="27"/>
      <c r="I155" s="27"/>
    </row>
    <row r="156" customFormat="false" ht="79.85" hidden="false" customHeight="false" outlineLevel="0" collapsed="false">
      <c r="A156" s="26" t="n">
        <v>784</v>
      </c>
      <c r="B156" s="26" t="s">
        <v>221</v>
      </c>
      <c r="C156" s="26"/>
      <c r="D156" s="27"/>
      <c r="E156" s="27"/>
      <c r="F156" s="27" t="s">
        <v>222</v>
      </c>
      <c r="G156" s="27" t="s">
        <v>328</v>
      </c>
      <c r="H156" s="27" t="s">
        <v>222</v>
      </c>
      <c r="I156" s="27" t="s">
        <v>328</v>
      </c>
    </row>
    <row r="157" customFormat="false" ht="57.45" hidden="false" customHeight="false" outlineLevel="0" collapsed="false">
      <c r="A157" s="26" t="n">
        <v>785</v>
      </c>
      <c r="B157" s="26" t="s">
        <v>221</v>
      </c>
      <c r="C157" s="26"/>
      <c r="D157" s="27"/>
      <c r="E157" s="27"/>
      <c r="F157" s="27" t="s">
        <v>222</v>
      </c>
      <c r="G157" s="27" t="s">
        <v>329</v>
      </c>
      <c r="H157" s="27" t="s">
        <v>222</v>
      </c>
      <c r="I157" s="27" t="s">
        <v>329</v>
      </c>
    </row>
    <row r="158" customFormat="false" ht="23.85" hidden="false" customHeight="false" outlineLevel="0" collapsed="false">
      <c r="A158" s="26" t="n">
        <v>786</v>
      </c>
      <c r="B158" s="26" t="s">
        <v>221</v>
      </c>
      <c r="C158" s="26"/>
      <c r="D158" s="27"/>
      <c r="E158" s="27"/>
      <c r="F158" s="27" t="s">
        <v>222</v>
      </c>
      <c r="G158" s="27" t="s">
        <v>330</v>
      </c>
      <c r="H158" s="27"/>
      <c r="I158" s="27"/>
    </row>
    <row r="159" customFormat="false" ht="23.85" hidden="false" customHeight="false" outlineLevel="0" collapsed="false">
      <c r="A159" s="26" t="n">
        <v>790</v>
      </c>
      <c r="B159" s="26" t="s">
        <v>221</v>
      </c>
      <c r="C159" s="26"/>
      <c r="D159" s="27"/>
      <c r="E159" s="27"/>
      <c r="F159" s="27" t="s">
        <v>222</v>
      </c>
      <c r="G159" s="27" t="s">
        <v>331</v>
      </c>
      <c r="H159" s="27"/>
      <c r="I159" s="27"/>
    </row>
    <row r="160" customFormat="false" ht="57.45" hidden="false" customHeight="false" outlineLevel="0" collapsed="false">
      <c r="A160" s="26" t="n">
        <v>794</v>
      </c>
      <c r="B160" s="26" t="s">
        <v>221</v>
      </c>
      <c r="C160" s="26"/>
      <c r="D160" s="27"/>
      <c r="E160" s="27"/>
      <c r="F160" s="27" t="s">
        <v>222</v>
      </c>
      <c r="G160" s="27" t="s">
        <v>332</v>
      </c>
      <c r="H160" s="27" t="s">
        <v>222</v>
      </c>
      <c r="I160" s="27" t="s">
        <v>332</v>
      </c>
    </row>
    <row r="161" customFormat="false" ht="23.85" hidden="false" customHeight="false" outlineLevel="0" collapsed="false">
      <c r="A161" s="26" t="n">
        <v>798</v>
      </c>
      <c r="B161" s="26" t="s">
        <v>221</v>
      </c>
      <c r="C161" s="26"/>
      <c r="D161" s="27"/>
      <c r="E161" s="27"/>
      <c r="F161" s="27" t="s">
        <v>222</v>
      </c>
      <c r="G161" s="27" t="s">
        <v>223</v>
      </c>
      <c r="H161" s="27" t="s">
        <v>222</v>
      </c>
      <c r="I161" s="27" t="s">
        <v>223</v>
      </c>
    </row>
    <row r="162" customFormat="false" ht="15" hidden="false" customHeight="false" outlineLevel="0" collapsed="false">
      <c r="A162" s="26" t="n">
        <v>799</v>
      </c>
      <c r="B162" s="26" t="s">
        <v>221</v>
      </c>
      <c r="C162" s="26"/>
      <c r="D162" s="27"/>
      <c r="E162" s="27"/>
      <c r="F162" s="27" t="s">
        <v>222</v>
      </c>
      <c r="G162" s="27" t="s">
        <v>333</v>
      </c>
      <c r="H162" s="27"/>
      <c r="I162" s="27"/>
    </row>
    <row r="163" customFormat="false" ht="23.85" hidden="false" customHeight="false" outlineLevel="0" collapsed="false">
      <c r="A163" s="26" t="n">
        <v>801</v>
      </c>
      <c r="B163" s="26" t="s">
        <v>221</v>
      </c>
      <c r="C163" s="26"/>
      <c r="D163" s="27"/>
      <c r="E163" s="27"/>
      <c r="F163" s="27" t="s">
        <v>222</v>
      </c>
      <c r="G163" s="27" t="s">
        <v>226</v>
      </c>
      <c r="H163" s="27" t="s">
        <v>222</v>
      </c>
      <c r="I163" s="27" t="s">
        <v>226</v>
      </c>
    </row>
    <row r="164" customFormat="false" ht="23.85" hidden="false" customHeight="false" outlineLevel="0" collapsed="false">
      <c r="A164" s="26" t="n">
        <v>802</v>
      </c>
      <c r="B164" s="26" t="s">
        <v>221</v>
      </c>
      <c r="C164" s="26"/>
      <c r="D164" s="27"/>
      <c r="E164" s="27"/>
      <c r="F164" s="27" t="s">
        <v>222</v>
      </c>
      <c r="G164" s="27" t="s">
        <v>334</v>
      </c>
      <c r="H164" s="27"/>
      <c r="I164" s="27"/>
    </row>
    <row r="165" customFormat="false" ht="46.25" hidden="false" customHeight="false" outlineLevel="0" collapsed="false">
      <c r="A165" s="26" t="n">
        <v>803</v>
      </c>
      <c r="B165" s="26" t="s">
        <v>221</v>
      </c>
      <c r="C165" s="26"/>
      <c r="D165" s="27"/>
      <c r="E165" s="27"/>
      <c r="F165" s="27" t="s">
        <v>222</v>
      </c>
      <c r="G165" s="27" t="s">
        <v>225</v>
      </c>
      <c r="H165" s="27"/>
      <c r="I165" s="27"/>
    </row>
    <row r="166" customFormat="false" ht="23.85" hidden="false" customHeight="false" outlineLevel="0" collapsed="false">
      <c r="A166" s="26" t="n">
        <v>807</v>
      </c>
      <c r="B166" s="26" t="s">
        <v>221</v>
      </c>
      <c r="C166" s="26"/>
      <c r="D166" s="27"/>
      <c r="E166" s="27"/>
      <c r="F166" s="27"/>
      <c r="G166" s="27"/>
      <c r="H166" s="27" t="s">
        <v>222</v>
      </c>
      <c r="I166" s="27" t="s">
        <v>223</v>
      </c>
    </row>
    <row r="167" customFormat="false" ht="23.85" hidden="false" customHeight="false" outlineLevel="0" collapsed="false">
      <c r="A167" s="26" t="n">
        <v>811</v>
      </c>
      <c r="B167" s="26" t="s">
        <v>221</v>
      </c>
      <c r="C167" s="26"/>
      <c r="D167" s="27"/>
      <c r="E167" s="27"/>
      <c r="F167" s="27" t="s">
        <v>222</v>
      </c>
      <c r="G167" s="27" t="s">
        <v>227</v>
      </c>
      <c r="H167" s="27"/>
      <c r="I167" s="27"/>
    </row>
    <row r="168" customFormat="false" ht="46.25" hidden="false" customHeight="false" outlineLevel="0" collapsed="false">
      <c r="A168" s="26" t="n">
        <v>816</v>
      </c>
      <c r="B168" s="26" t="s">
        <v>221</v>
      </c>
      <c r="C168" s="26"/>
      <c r="D168" s="27"/>
      <c r="E168" s="27"/>
      <c r="F168" s="27" t="s">
        <v>222</v>
      </c>
      <c r="G168" s="27" t="s">
        <v>231</v>
      </c>
      <c r="H168" s="27"/>
      <c r="I168" s="27"/>
    </row>
    <row r="169" customFormat="false" ht="23.85" hidden="false" customHeight="false" outlineLevel="0" collapsed="false">
      <c r="A169" s="26" t="n">
        <v>817</v>
      </c>
      <c r="B169" s="26" t="s">
        <v>221</v>
      </c>
      <c r="C169" s="26"/>
      <c r="D169" s="27"/>
      <c r="E169" s="27"/>
      <c r="F169" s="27" t="s">
        <v>222</v>
      </c>
      <c r="G169" s="27" t="s">
        <v>335</v>
      </c>
      <c r="H169" s="27"/>
      <c r="I169" s="27"/>
    </row>
    <row r="170" customFormat="false" ht="46.25" hidden="false" customHeight="false" outlineLevel="0" collapsed="false">
      <c r="A170" s="26" t="n">
        <v>821</v>
      </c>
      <c r="B170" s="26" t="s">
        <v>221</v>
      </c>
      <c r="C170" s="26"/>
      <c r="D170" s="27"/>
      <c r="E170" s="27"/>
      <c r="F170" s="27" t="s">
        <v>222</v>
      </c>
      <c r="G170" s="27" t="s">
        <v>235</v>
      </c>
      <c r="H170" s="27" t="s">
        <v>222</v>
      </c>
      <c r="I170" s="27" t="s">
        <v>235</v>
      </c>
    </row>
    <row r="171" customFormat="false" ht="23.85" hidden="false" customHeight="false" outlineLevel="0" collapsed="false">
      <c r="A171" s="26" t="n">
        <v>822</v>
      </c>
      <c r="B171" s="26" t="s">
        <v>221</v>
      </c>
      <c r="C171" s="26"/>
      <c r="D171" s="27"/>
      <c r="E171" s="27"/>
      <c r="F171" s="27" t="s">
        <v>222</v>
      </c>
      <c r="G171" s="27" t="s">
        <v>238</v>
      </c>
      <c r="H171" s="27" t="s">
        <v>222</v>
      </c>
      <c r="I171" s="27" t="s">
        <v>238</v>
      </c>
    </row>
    <row r="172" customFormat="false" ht="35.05" hidden="false" customHeight="false" outlineLevel="0" collapsed="false">
      <c r="A172" s="26" t="n">
        <v>823</v>
      </c>
      <c r="B172" s="26" t="s">
        <v>221</v>
      </c>
      <c r="C172" s="26"/>
      <c r="D172" s="27"/>
      <c r="E172" s="27"/>
      <c r="F172" s="27" t="s">
        <v>222</v>
      </c>
      <c r="G172" s="27" t="s">
        <v>237</v>
      </c>
      <c r="H172" s="27"/>
      <c r="I172" s="27"/>
    </row>
    <row r="173" customFormat="false" ht="35.05" hidden="false" customHeight="false" outlineLevel="0" collapsed="false">
      <c r="A173" s="26" t="n">
        <v>824</v>
      </c>
      <c r="B173" s="26" t="s">
        <v>221</v>
      </c>
      <c r="C173" s="26"/>
      <c r="D173" s="27"/>
      <c r="E173" s="27"/>
      <c r="F173" s="27" t="s">
        <v>222</v>
      </c>
      <c r="G173" s="27" t="s">
        <v>336</v>
      </c>
      <c r="H173" s="27" t="s">
        <v>222</v>
      </c>
      <c r="I173" s="27" t="s">
        <v>336</v>
      </c>
    </row>
    <row r="174" customFormat="false" ht="23.85" hidden="false" customHeight="false" outlineLevel="0" collapsed="false">
      <c r="A174" s="26" t="n">
        <v>825</v>
      </c>
      <c r="B174" s="26" t="s">
        <v>221</v>
      </c>
      <c r="C174" s="26"/>
      <c r="D174" s="27"/>
      <c r="E174" s="27"/>
      <c r="F174" s="27" t="s">
        <v>222</v>
      </c>
      <c r="G174" s="27" t="s">
        <v>240</v>
      </c>
      <c r="H174" s="27" t="s">
        <v>222</v>
      </c>
      <c r="I174" s="27" t="s">
        <v>240</v>
      </c>
    </row>
    <row r="175" customFormat="false" ht="15" hidden="false" customHeight="false" outlineLevel="0" collapsed="false">
      <c r="A175" s="26" t="n">
        <v>826</v>
      </c>
      <c r="B175" s="26" t="s">
        <v>221</v>
      </c>
      <c r="C175" s="26"/>
      <c r="D175" s="27"/>
      <c r="E175" s="27"/>
      <c r="F175" s="27" t="s">
        <v>222</v>
      </c>
      <c r="G175" s="27" t="s">
        <v>239</v>
      </c>
      <c r="H175" s="27"/>
      <c r="I175" s="27"/>
    </row>
    <row r="176" customFormat="false" ht="23.85" hidden="false" customHeight="false" outlineLevel="0" collapsed="false">
      <c r="A176" s="26" t="n">
        <v>827</v>
      </c>
      <c r="B176" s="26" t="s">
        <v>221</v>
      </c>
      <c r="C176" s="26"/>
      <c r="D176" s="27"/>
      <c r="E176" s="27"/>
      <c r="F176" s="27" t="s">
        <v>222</v>
      </c>
      <c r="G176" s="27" t="s">
        <v>228</v>
      </c>
      <c r="H176" s="27"/>
      <c r="I176" s="27"/>
    </row>
    <row r="177" customFormat="false" ht="35.05" hidden="false" customHeight="false" outlineLevel="0" collapsed="false">
      <c r="A177" s="26" t="n">
        <v>832</v>
      </c>
      <c r="B177" s="26" t="s">
        <v>221</v>
      </c>
      <c r="C177" s="26"/>
      <c r="D177" s="27"/>
      <c r="E177" s="27"/>
      <c r="F177" s="27" t="s">
        <v>222</v>
      </c>
      <c r="G177" s="27" t="s">
        <v>241</v>
      </c>
      <c r="H177" s="27" t="s">
        <v>222</v>
      </c>
      <c r="I177" s="27" t="s">
        <v>241</v>
      </c>
    </row>
    <row r="178" customFormat="false" ht="35.05" hidden="false" customHeight="false" outlineLevel="0" collapsed="false">
      <c r="A178" s="26" t="n">
        <v>835</v>
      </c>
      <c r="B178" s="26" t="s">
        <v>221</v>
      </c>
      <c r="C178" s="26"/>
      <c r="D178" s="27"/>
      <c r="E178" s="27"/>
      <c r="F178" s="27" t="s">
        <v>222</v>
      </c>
      <c r="G178" s="27" t="s">
        <v>242</v>
      </c>
      <c r="H178" s="27" t="s">
        <v>222</v>
      </c>
      <c r="I178" s="27" t="s">
        <v>242</v>
      </c>
    </row>
    <row r="179" customFormat="false" ht="23.85" hidden="false" customHeight="false" outlineLevel="0" collapsed="false">
      <c r="A179" s="26" t="n">
        <v>837</v>
      </c>
      <c r="B179" s="26" t="s">
        <v>221</v>
      </c>
      <c r="C179" s="26"/>
      <c r="D179" s="27"/>
      <c r="E179" s="27"/>
      <c r="F179" s="27" t="s">
        <v>222</v>
      </c>
      <c r="G179" s="27" t="s">
        <v>243</v>
      </c>
      <c r="H179" s="27"/>
      <c r="I179" s="27"/>
    </row>
    <row r="180" customFormat="false" ht="57.45" hidden="false" customHeight="false" outlineLevel="0" collapsed="false">
      <c r="A180" s="26" t="n">
        <v>841</v>
      </c>
      <c r="B180" s="26" t="s">
        <v>221</v>
      </c>
      <c r="C180" s="26"/>
      <c r="D180" s="27"/>
      <c r="E180" s="27"/>
      <c r="F180" s="27" t="s">
        <v>222</v>
      </c>
      <c r="G180" s="27" t="s">
        <v>245</v>
      </c>
      <c r="H180" s="27" t="s">
        <v>222</v>
      </c>
      <c r="I180" s="27" t="s">
        <v>245</v>
      </c>
    </row>
    <row r="181" customFormat="false" ht="35.05" hidden="false" customHeight="false" outlineLevel="0" collapsed="false">
      <c r="A181" s="26" t="n">
        <v>844</v>
      </c>
      <c r="B181" s="26" t="s">
        <v>221</v>
      </c>
      <c r="C181" s="26"/>
      <c r="D181" s="27"/>
      <c r="E181" s="27"/>
      <c r="F181" s="27" t="s">
        <v>222</v>
      </c>
      <c r="G181" s="27" t="s">
        <v>246</v>
      </c>
      <c r="H181" s="27" t="s">
        <v>222</v>
      </c>
      <c r="I181" s="27" t="s">
        <v>246</v>
      </c>
    </row>
    <row r="182" customFormat="false" ht="23.85" hidden="false" customHeight="false" outlineLevel="0" collapsed="false">
      <c r="A182" s="26" t="n">
        <v>845</v>
      </c>
      <c r="B182" s="26" t="s">
        <v>221</v>
      </c>
      <c r="C182" s="26"/>
      <c r="D182" s="27"/>
      <c r="E182" s="27"/>
      <c r="F182" s="27" t="s">
        <v>222</v>
      </c>
      <c r="G182" s="27" t="s">
        <v>337</v>
      </c>
      <c r="H182" s="27"/>
      <c r="I182" s="27"/>
    </row>
    <row r="183" customFormat="false" ht="35.05" hidden="false" customHeight="false" outlineLevel="0" collapsed="false">
      <c r="A183" s="26" t="n">
        <v>847</v>
      </c>
      <c r="B183" s="26" t="s">
        <v>221</v>
      </c>
      <c r="C183" s="26"/>
      <c r="D183" s="27"/>
      <c r="E183" s="27"/>
      <c r="F183" s="27" t="s">
        <v>222</v>
      </c>
      <c r="G183" s="27" t="s">
        <v>247</v>
      </c>
      <c r="H183" s="27" t="s">
        <v>222</v>
      </c>
      <c r="I183" s="27" t="s">
        <v>247</v>
      </c>
    </row>
    <row r="184" customFormat="false" ht="35.05" hidden="false" customHeight="false" outlineLevel="0" collapsed="false">
      <c r="A184" s="26" t="n">
        <v>848</v>
      </c>
      <c r="B184" s="26" t="s">
        <v>221</v>
      </c>
      <c r="C184" s="26"/>
      <c r="D184" s="27"/>
      <c r="E184" s="27"/>
      <c r="F184" s="27" t="s">
        <v>222</v>
      </c>
      <c r="G184" s="27" t="s">
        <v>248</v>
      </c>
      <c r="H184" s="27"/>
      <c r="I184" s="27"/>
    </row>
    <row r="185" customFormat="false" ht="35.05" hidden="false" customHeight="false" outlineLevel="0" collapsed="false">
      <c r="A185" s="26" t="n">
        <v>849</v>
      </c>
      <c r="B185" s="26" t="s">
        <v>221</v>
      </c>
      <c r="C185" s="26"/>
      <c r="D185" s="27"/>
      <c r="E185" s="27"/>
      <c r="F185" s="27" t="s">
        <v>222</v>
      </c>
      <c r="G185" s="27" t="s">
        <v>250</v>
      </c>
      <c r="H185" s="27" t="s">
        <v>222</v>
      </c>
      <c r="I185" s="27" t="s">
        <v>250</v>
      </c>
    </row>
    <row r="186" customFormat="false" ht="46.25" hidden="false" customHeight="false" outlineLevel="0" collapsed="false">
      <c r="A186" s="26" t="n">
        <v>850</v>
      </c>
      <c r="B186" s="26" t="s">
        <v>221</v>
      </c>
      <c r="C186" s="26"/>
      <c r="D186" s="27"/>
      <c r="E186" s="27"/>
      <c r="F186" s="27" t="s">
        <v>222</v>
      </c>
      <c r="G186" s="27" t="s">
        <v>249</v>
      </c>
      <c r="H186" s="27" t="s">
        <v>222</v>
      </c>
      <c r="I186" s="27" t="s">
        <v>249</v>
      </c>
    </row>
    <row r="187" customFormat="false" ht="23.85" hidden="false" customHeight="false" outlineLevel="0" collapsed="false">
      <c r="A187" s="26" t="n">
        <v>852</v>
      </c>
      <c r="B187" s="26" t="s">
        <v>221</v>
      </c>
      <c r="C187" s="26"/>
      <c r="D187" s="27"/>
      <c r="E187" s="27"/>
      <c r="F187" s="27" t="s">
        <v>222</v>
      </c>
      <c r="G187" s="27" t="s">
        <v>251</v>
      </c>
      <c r="H187" s="27"/>
      <c r="I187" s="27"/>
    </row>
    <row r="188" customFormat="false" ht="35.05" hidden="false" customHeight="false" outlineLevel="0" collapsed="false">
      <c r="A188" s="26" t="n">
        <v>854</v>
      </c>
      <c r="B188" s="26" t="s">
        <v>221</v>
      </c>
      <c r="C188" s="26"/>
      <c r="D188" s="27"/>
      <c r="E188" s="27"/>
      <c r="F188" s="27" t="s">
        <v>222</v>
      </c>
      <c r="G188" s="27" t="s">
        <v>252</v>
      </c>
      <c r="H188" s="27" t="s">
        <v>222</v>
      </c>
      <c r="I188" s="27" t="s">
        <v>253</v>
      </c>
    </row>
    <row r="189" customFormat="false" ht="68.65" hidden="false" customHeight="false" outlineLevel="0" collapsed="false">
      <c r="A189" s="26" t="n">
        <v>858</v>
      </c>
      <c r="B189" s="26" t="s">
        <v>221</v>
      </c>
      <c r="C189" s="26"/>
      <c r="D189" s="27"/>
      <c r="E189" s="27"/>
      <c r="F189" s="27" t="s">
        <v>222</v>
      </c>
      <c r="G189" s="27" t="s">
        <v>255</v>
      </c>
      <c r="H189" s="27" t="s">
        <v>222</v>
      </c>
      <c r="I189" s="27" t="s">
        <v>255</v>
      </c>
    </row>
    <row r="190" customFormat="false" ht="46.25" hidden="false" customHeight="false" outlineLevel="0" collapsed="false">
      <c r="A190" s="26" t="n">
        <v>859</v>
      </c>
      <c r="B190" s="26" t="s">
        <v>221</v>
      </c>
      <c r="C190" s="26"/>
      <c r="D190" s="27"/>
      <c r="E190" s="27"/>
      <c r="F190" s="27" t="s">
        <v>222</v>
      </c>
      <c r="G190" s="27" t="s">
        <v>254</v>
      </c>
      <c r="H190" s="27" t="s">
        <v>222</v>
      </c>
      <c r="I190" s="27" t="s">
        <v>254</v>
      </c>
    </row>
    <row r="191" customFormat="false" ht="124.6" hidden="false" customHeight="false" outlineLevel="0" collapsed="false">
      <c r="A191" s="26" t="n">
        <v>862</v>
      </c>
      <c r="B191" s="26" t="s">
        <v>221</v>
      </c>
      <c r="C191" s="26"/>
      <c r="D191" s="27"/>
      <c r="E191" s="27"/>
      <c r="F191" s="27" t="s">
        <v>222</v>
      </c>
      <c r="G191" s="27" t="s">
        <v>338</v>
      </c>
      <c r="H191" s="27" t="s">
        <v>222</v>
      </c>
      <c r="I191" s="27" t="s">
        <v>338</v>
      </c>
    </row>
    <row r="192" customFormat="false" ht="15" hidden="false" customHeight="false" outlineLevel="0" collapsed="false">
      <c r="A192" s="26" t="n">
        <v>864</v>
      </c>
      <c r="B192" s="26" t="s">
        <v>221</v>
      </c>
      <c r="C192" s="26"/>
      <c r="D192" s="27"/>
      <c r="E192" s="27"/>
      <c r="F192" s="27" t="s">
        <v>222</v>
      </c>
      <c r="G192" s="27" t="s">
        <v>339</v>
      </c>
      <c r="H192" s="27"/>
      <c r="I192" s="27"/>
    </row>
    <row r="193" customFormat="false" ht="23.85" hidden="false" customHeight="false" outlineLevel="0" collapsed="false">
      <c r="A193" s="26" t="n">
        <v>867</v>
      </c>
      <c r="B193" s="26" t="s">
        <v>221</v>
      </c>
      <c r="C193" s="26"/>
      <c r="D193" s="27"/>
      <c r="E193" s="27"/>
      <c r="F193" s="27" t="s">
        <v>222</v>
      </c>
      <c r="G193" s="27" t="s">
        <v>256</v>
      </c>
      <c r="H193" s="27" t="s">
        <v>222</v>
      </c>
      <c r="I193" s="27" t="s">
        <v>256</v>
      </c>
    </row>
    <row r="194" customFormat="false" ht="23.85" hidden="false" customHeight="false" outlineLevel="0" collapsed="false">
      <c r="A194" s="26" t="n">
        <v>868</v>
      </c>
      <c r="B194" s="26" t="s">
        <v>221</v>
      </c>
      <c r="C194" s="26"/>
      <c r="D194" s="27"/>
      <c r="E194" s="27"/>
      <c r="F194" s="27"/>
      <c r="G194" s="27"/>
      <c r="H194" s="27" t="s">
        <v>222</v>
      </c>
      <c r="I194" s="27" t="s">
        <v>258</v>
      </c>
    </row>
    <row r="195" customFormat="false" ht="35.05" hidden="false" customHeight="false" outlineLevel="0" collapsed="false">
      <c r="A195" s="26" t="n">
        <v>870</v>
      </c>
      <c r="B195" s="26" t="s">
        <v>221</v>
      </c>
      <c r="C195" s="26"/>
      <c r="D195" s="27"/>
      <c r="E195" s="27"/>
      <c r="F195" s="27" t="s">
        <v>222</v>
      </c>
      <c r="G195" s="27" t="s">
        <v>260</v>
      </c>
      <c r="H195" s="27" t="s">
        <v>222</v>
      </c>
      <c r="I195" s="27" t="s">
        <v>260</v>
      </c>
    </row>
    <row r="196" customFormat="false" ht="35.05" hidden="false" customHeight="false" outlineLevel="0" collapsed="false">
      <c r="A196" s="26" t="n">
        <v>871</v>
      </c>
      <c r="B196" s="26" t="s">
        <v>221</v>
      </c>
      <c r="C196" s="26"/>
      <c r="D196" s="27"/>
      <c r="E196" s="27"/>
      <c r="F196" s="27" t="s">
        <v>222</v>
      </c>
      <c r="G196" s="27" t="s">
        <v>262</v>
      </c>
      <c r="H196" s="27" t="s">
        <v>222</v>
      </c>
      <c r="I196" s="27" t="s">
        <v>340</v>
      </c>
    </row>
    <row r="197" customFormat="false" ht="23.85" hidden="false" customHeight="false" outlineLevel="0" collapsed="false">
      <c r="A197" s="26" t="n">
        <v>872</v>
      </c>
      <c r="B197" s="26" t="s">
        <v>221</v>
      </c>
      <c r="C197" s="26"/>
      <c r="D197" s="27"/>
      <c r="E197" s="27"/>
      <c r="F197" s="27" t="s">
        <v>222</v>
      </c>
      <c r="G197" s="27" t="s">
        <v>259</v>
      </c>
      <c r="H197" s="27"/>
      <c r="I197" s="27"/>
    </row>
    <row r="198" customFormat="false" ht="46.25" hidden="false" customHeight="false" outlineLevel="0" collapsed="false">
      <c r="A198" s="26" t="n">
        <v>874</v>
      </c>
      <c r="B198" s="26" t="s">
        <v>221</v>
      </c>
      <c r="C198" s="26"/>
      <c r="D198" s="27"/>
      <c r="E198" s="27"/>
      <c r="F198" s="27" t="s">
        <v>222</v>
      </c>
      <c r="G198" s="27" t="s">
        <v>261</v>
      </c>
      <c r="H198" s="27" t="s">
        <v>222</v>
      </c>
      <c r="I198" s="27" t="s">
        <v>261</v>
      </c>
    </row>
    <row r="199" customFormat="false" ht="79.85" hidden="false" customHeight="false" outlineLevel="0" collapsed="false">
      <c r="A199" s="26" t="n">
        <v>875</v>
      </c>
      <c r="B199" s="26" t="s">
        <v>221</v>
      </c>
      <c r="C199" s="26"/>
      <c r="D199" s="27"/>
      <c r="E199" s="27"/>
      <c r="F199" s="27" t="s">
        <v>222</v>
      </c>
      <c r="G199" s="27" t="s">
        <v>263</v>
      </c>
      <c r="H199" s="27" t="s">
        <v>222</v>
      </c>
      <c r="I199" s="27" t="s">
        <v>263</v>
      </c>
    </row>
    <row r="200" customFormat="false" ht="23.85" hidden="false" customHeight="false" outlineLevel="0" collapsed="false">
      <c r="A200" s="26" t="n">
        <v>876</v>
      </c>
      <c r="B200" s="26" t="s">
        <v>221</v>
      </c>
      <c r="C200" s="26"/>
      <c r="D200" s="27"/>
      <c r="E200" s="27"/>
      <c r="F200" s="27" t="s">
        <v>222</v>
      </c>
      <c r="G200" s="27" t="s">
        <v>265</v>
      </c>
      <c r="H200" s="27"/>
      <c r="I200" s="27"/>
    </row>
    <row r="201" customFormat="false" ht="23.85" hidden="false" customHeight="false" outlineLevel="0" collapsed="false">
      <c r="A201" s="26" t="n">
        <v>879</v>
      </c>
      <c r="B201" s="26" t="s">
        <v>221</v>
      </c>
      <c r="C201" s="26"/>
      <c r="D201" s="27"/>
      <c r="E201" s="27"/>
      <c r="F201" s="27" t="s">
        <v>222</v>
      </c>
      <c r="G201" s="27" t="s">
        <v>264</v>
      </c>
      <c r="H201" s="27" t="s">
        <v>222</v>
      </c>
      <c r="I201" s="27" t="s">
        <v>264</v>
      </c>
    </row>
    <row r="202" customFormat="false" ht="57.45" hidden="false" customHeight="false" outlineLevel="0" collapsed="false">
      <c r="A202" s="26" t="n">
        <v>883</v>
      </c>
      <c r="B202" s="26" t="s">
        <v>221</v>
      </c>
      <c r="C202" s="26"/>
      <c r="D202" s="27"/>
      <c r="E202" s="27"/>
      <c r="F202" s="27" t="s">
        <v>222</v>
      </c>
      <c r="G202" s="27" t="s">
        <v>267</v>
      </c>
      <c r="H202" s="27" t="s">
        <v>222</v>
      </c>
      <c r="I202" s="27" t="s">
        <v>267</v>
      </c>
    </row>
    <row r="203" customFormat="false" ht="46.25" hidden="false" customHeight="false" outlineLevel="0" collapsed="false">
      <c r="A203" s="26" t="n">
        <v>884</v>
      </c>
      <c r="B203" s="26" t="s">
        <v>221</v>
      </c>
      <c r="C203" s="26"/>
      <c r="D203" s="27"/>
      <c r="E203" s="27"/>
      <c r="F203" s="27" t="s">
        <v>222</v>
      </c>
      <c r="G203" s="27" t="s">
        <v>268</v>
      </c>
      <c r="H203" s="27" t="s">
        <v>222</v>
      </c>
      <c r="I203" s="27" t="s">
        <v>268</v>
      </c>
    </row>
    <row r="204" customFormat="false" ht="23.85" hidden="false" customHeight="false" outlineLevel="0" collapsed="false">
      <c r="A204" s="26" t="n">
        <v>888</v>
      </c>
      <c r="B204" s="26" t="s">
        <v>221</v>
      </c>
      <c r="C204" s="26"/>
      <c r="D204" s="27"/>
      <c r="E204" s="27"/>
      <c r="F204" s="27" t="s">
        <v>222</v>
      </c>
      <c r="G204" s="27" t="s">
        <v>269</v>
      </c>
      <c r="H204" s="27"/>
      <c r="I204" s="27"/>
    </row>
    <row r="205" customFormat="false" ht="23.85" hidden="false" customHeight="false" outlineLevel="0" collapsed="false">
      <c r="A205" s="26" t="n">
        <v>889</v>
      </c>
      <c r="B205" s="26" t="s">
        <v>221</v>
      </c>
      <c r="C205" s="26"/>
      <c r="D205" s="27"/>
      <c r="E205" s="27"/>
      <c r="F205" s="27" t="s">
        <v>222</v>
      </c>
      <c r="G205" s="27" t="s">
        <v>270</v>
      </c>
      <c r="H205" s="27" t="s">
        <v>222</v>
      </c>
      <c r="I205" s="27" t="s">
        <v>341</v>
      </c>
    </row>
    <row r="206" customFormat="false" ht="35.05" hidden="false" customHeight="false" outlineLevel="0" collapsed="false">
      <c r="A206" s="26" t="n">
        <v>890</v>
      </c>
      <c r="B206" s="26" t="s">
        <v>221</v>
      </c>
      <c r="C206" s="26"/>
      <c r="D206" s="27"/>
      <c r="E206" s="27"/>
      <c r="F206" s="27" t="s">
        <v>222</v>
      </c>
      <c r="G206" s="27" t="s">
        <v>342</v>
      </c>
      <c r="H206" s="27" t="s">
        <v>222</v>
      </c>
      <c r="I206" s="27" t="s">
        <v>342</v>
      </c>
    </row>
    <row r="207" customFormat="false" ht="57.45" hidden="false" customHeight="false" outlineLevel="0" collapsed="false">
      <c r="A207" s="26" t="n">
        <v>892</v>
      </c>
      <c r="B207" s="26" t="s">
        <v>221</v>
      </c>
      <c r="C207" s="26"/>
      <c r="D207" s="27"/>
      <c r="E207" s="27"/>
      <c r="F207" s="27" t="s">
        <v>222</v>
      </c>
      <c r="G207" s="27" t="s">
        <v>343</v>
      </c>
      <c r="H207" s="27" t="s">
        <v>222</v>
      </c>
      <c r="I207" s="27" t="s">
        <v>343</v>
      </c>
    </row>
    <row r="208" customFormat="false" ht="35.05" hidden="false" customHeight="false" outlineLevel="0" collapsed="false">
      <c r="A208" s="26" t="n">
        <v>896</v>
      </c>
      <c r="B208" s="26" t="s">
        <v>221</v>
      </c>
      <c r="C208" s="26"/>
      <c r="D208" s="27"/>
      <c r="E208" s="27"/>
      <c r="F208" s="27" t="s">
        <v>222</v>
      </c>
      <c r="G208" s="27" t="s">
        <v>344</v>
      </c>
      <c r="H208" s="27" t="s">
        <v>222</v>
      </c>
      <c r="I208" s="27" t="s">
        <v>345</v>
      </c>
    </row>
    <row r="209" customFormat="false" ht="23.85" hidden="false" customHeight="false" outlineLevel="0" collapsed="false">
      <c r="A209" s="26" t="n">
        <v>915</v>
      </c>
      <c r="B209" s="26" t="s">
        <v>221</v>
      </c>
      <c r="C209" s="26"/>
      <c r="D209" s="27"/>
      <c r="E209" s="27"/>
      <c r="F209" s="27" t="s">
        <v>222</v>
      </c>
      <c r="G209" s="27" t="s">
        <v>272</v>
      </c>
      <c r="H209" s="27" t="s">
        <v>222</v>
      </c>
      <c r="I209" s="27" t="s">
        <v>272</v>
      </c>
    </row>
    <row r="210" customFormat="false" ht="68.65" hidden="false" customHeight="false" outlineLevel="0" collapsed="false">
      <c r="A210" s="26" t="n">
        <v>918</v>
      </c>
      <c r="B210" s="26" t="s">
        <v>221</v>
      </c>
      <c r="C210" s="26"/>
      <c r="D210" s="27"/>
      <c r="E210" s="27"/>
      <c r="F210" s="27" t="s">
        <v>222</v>
      </c>
      <c r="G210" s="27" t="s">
        <v>275</v>
      </c>
      <c r="H210" s="27" t="s">
        <v>222</v>
      </c>
      <c r="I210" s="27" t="s">
        <v>276</v>
      </c>
    </row>
    <row r="211" customFormat="false" ht="91" hidden="false" customHeight="false" outlineLevel="0" collapsed="false">
      <c r="A211" s="26" t="n">
        <v>919</v>
      </c>
      <c r="B211" s="26" t="s">
        <v>221</v>
      </c>
      <c r="C211" s="26"/>
      <c r="D211" s="27"/>
      <c r="E211" s="27"/>
      <c r="F211" s="27" t="s">
        <v>222</v>
      </c>
      <c r="G211" s="27" t="s">
        <v>277</v>
      </c>
      <c r="H211" s="27" t="s">
        <v>222</v>
      </c>
      <c r="I211" s="27" t="s">
        <v>277</v>
      </c>
    </row>
    <row r="212" customFormat="false" ht="46.25" hidden="false" customHeight="false" outlineLevel="0" collapsed="false">
      <c r="A212" s="26" t="n">
        <v>920</v>
      </c>
      <c r="B212" s="26" t="s">
        <v>221</v>
      </c>
      <c r="C212" s="26"/>
      <c r="D212" s="27"/>
      <c r="E212" s="27"/>
      <c r="F212" s="27" t="s">
        <v>222</v>
      </c>
      <c r="G212" s="27" t="s">
        <v>273</v>
      </c>
      <c r="H212" s="27" t="s">
        <v>222</v>
      </c>
      <c r="I212" s="27" t="s">
        <v>274</v>
      </c>
    </row>
    <row r="213" customFormat="false" ht="46.25" hidden="false" customHeight="false" outlineLevel="0" collapsed="false">
      <c r="A213" s="26" t="n">
        <v>925</v>
      </c>
      <c r="B213" s="26" t="s">
        <v>221</v>
      </c>
      <c r="C213" s="26"/>
      <c r="D213" s="27"/>
      <c r="E213" s="27"/>
      <c r="F213" s="27" t="s">
        <v>222</v>
      </c>
      <c r="G213" s="27" t="s">
        <v>279</v>
      </c>
      <c r="H213" s="27"/>
      <c r="I213" s="27"/>
    </row>
    <row r="214" customFormat="false" ht="15" hidden="false" customHeight="false" outlineLevel="0" collapsed="false">
      <c r="A214" s="26" t="n">
        <v>926</v>
      </c>
      <c r="B214" s="26" t="s">
        <v>221</v>
      </c>
      <c r="C214" s="26"/>
      <c r="D214" s="27"/>
      <c r="E214" s="27"/>
      <c r="F214" s="27"/>
      <c r="G214" s="27"/>
      <c r="H214" s="27" t="s">
        <v>222</v>
      </c>
      <c r="I214" s="27" t="s">
        <v>278</v>
      </c>
    </row>
    <row r="215" customFormat="false" ht="46.25" hidden="false" customHeight="false" outlineLevel="0" collapsed="false">
      <c r="A215" s="26" t="n">
        <v>927</v>
      </c>
      <c r="B215" s="26" t="s">
        <v>221</v>
      </c>
      <c r="C215" s="26"/>
      <c r="D215" s="27"/>
      <c r="E215" s="27"/>
      <c r="F215" s="27" t="s">
        <v>222</v>
      </c>
      <c r="G215" s="27" t="s">
        <v>282</v>
      </c>
      <c r="H215" s="27" t="s">
        <v>222</v>
      </c>
      <c r="I215" s="27" t="s">
        <v>282</v>
      </c>
    </row>
    <row r="216" customFormat="false" ht="23.85" hidden="false" customHeight="false" outlineLevel="0" collapsed="false">
      <c r="A216" s="26" t="n">
        <v>928</v>
      </c>
      <c r="B216" s="26" t="s">
        <v>221</v>
      </c>
      <c r="C216" s="26"/>
      <c r="D216" s="27"/>
      <c r="E216" s="27"/>
      <c r="F216" s="27" t="s">
        <v>222</v>
      </c>
      <c r="G216" s="27" t="s">
        <v>281</v>
      </c>
      <c r="H216" s="27"/>
      <c r="I216" s="27"/>
    </row>
    <row r="217" customFormat="false" ht="35.05" hidden="false" customHeight="false" outlineLevel="0" collapsed="false">
      <c r="A217" s="26" t="n">
        <v>929</v>
      </c>
      <c r="B217" s="26" t="s">
        <v>221</v>
      </c>
      <c r="C217" s="26"/>
      <c r="D217" s="27"/>
      <c r="E217" s="27"/>
      <c r="F217" s="27" t="s">
        <v>222</v>
      </c>
      <c r="G217" s="27" t="s">
        <v>283</v>
      </c>
      <c r="H217" s="27" t="s">
        <v>222</v>
      </c>
      <c r="I217" s="27" t="s">
        <v>284</v>
      </c>
    </row>
    <row r="218" customFormat="false" ht="35.05" hidden="false" customHeight="false" outlineLevel="0" collapsed="false">
      <c r="A218" s="26" t="n">
        <v>933</v>
      </c>
      <c r="B218" s="26" t="s">
        <v>221</v>
      </c>
      <c r="C218" s="26"/>
      <c r="D218" s="27"/>
      <c r="E218" s="27"/>
      <c r="F218" s="27" t="s">
        <v>222</v>
      </c>
      <c r="G218" s="27" t="s">
        <v>346</v>
      </c>
      <c r="H218" s="27" t="s">
        <v>222</v>
      </c>
      <c r="I218" s="27" t="s">
        <v>346</v>
      </c>
    </row>
    <row r="219" customFormat="false" ht="15" hidden="false" customHeight="false" outlineLevel="0" collapsed="false">
      <c r="A219" s="26" t="n">
        <v>934</v>
      </c>
      <c r="B219" s="26" t="s">
        <v>221</v>
      </c>
      <c r="C219" s="26"/>
      <c r="D219" s="27"/>
      <c r="E219" s="27"/>
      <c r="F219" s="27" t="s">
        <v>222</v>
      </c>
      <c r="G219" s="27" t="s">
        <v>285</v>
      </c>
      <c r="H219" s="27"/>
      <c r="I219" s="27"/>
    </row>
    <row r="220" customFormat="false" ht="23.85" hidden="false" customHeight="false" outlineLevel="0" collapsed="false">
      <c r="A220" s="26" t="n">
        <v>939</v>
      </c>
      <c r="B220" s="26" t="s">
        <v>221</v>
      </c>
      <c r="C220" s="26"/>
      <c r="D220" s="27"/>
      <c r="E220" s="27"/>
      <c r="F220" s="27" t="s">
        <v>222</v>
      </c>
      <c r="G220" s="27" t="s">
        <v>286</v>
      </c>
      <c r="H220" s="27"/>
      <c r="I220" s="27"/>
    </row>
    <row r="221" customFormat="false" ht="23.85" hidden="false" customHeight="false" outlineLevel="0" collapsed="false">
      <c r="A221" s="26" t="n">
        <v>940</v>
      </c>
      <c r="B221" s="26" t="s">
        <v>221</v>
      </c>
      <c r="C221" s="26"/>
      <c r="D221" s="27"/>
      <c r="E221" s="27"/>
      <c r="F221" s="27" t="s">
        <v>222</v>
      </c>
      <c r="G221" s="27" t="s">
        <v>280</v>
      </c>
      <c r="H221" s="27" t="s">
        <v>222</v>
      </c>
      <c r="I221" s="27" t="s">
        <v>280</v>
      </c>
    </row>
    <row r="222" customFormat="false" ht="23.85" hidden="false" customHeight="false" outlineLevel="0" collapsed="false">
      <c r="A222" s="26" t="n">
        <v>946</v>
      </c>
      <c r="B222" s="26" t="s">
        <v>221</v>
      </c>
      <c r="C222" s="26"/>
      <c r="D222" s="27"/>
      <c r="E222" s="27"/>
      <c r="F222" s="27" t="s">
        <v>222</v>
      </c>
      <c r="G222" s="27" t="s">
        <v>287</v>
      </c>
      <c r="H222" s="27" t="s">
        <v>222</v>
      </c>
      <c r="I222" s="27" t="s">
        <v>287</v>
      </c>
    </row>
    <row r="223" customFormat="false" ht="68.65" hidden="false" customHeight="false" outlineLevel="0" collapsed="false">
      <c r="A223" s="26" t="n">
        <v>947</v>
      </c>
      <c r="B223" s="26" t="s">
        <v>221</v>
      </c>
      <c r="C223" s="26"/>
      <c r="D223" s="27"/>
      <c r="E223" s="27"/>
      <c r="F223" s="27" t="s">
        <v>222</v>
      </c>
      <c r="G223" s="27" t="s">
        <v>292</v>
      </c>
      <c r="H223" s="27" t="s">
        <v>222</v>
      </c>
      <c r="I223" s="27" t="s">
        <v>292</v>
      </c>
    </row>
    <row r="224" customFormat="false" ht="57.45" hidden="false" customHeight="false" outlineLevel="0" collapsed="false">
      <c r="A224" s="26" t="n">
        <v>948</v>
      </c>
      <c r="B224" s="26" t="s">
        <v>221</v>
      </c>
      <c r="C224" s="26"/>
      <c r="D224" s="27"/>
      <c r="E224" s="27"/>
      <c r="F224" s="27" t="s">
        <v>222</v>
      </c>
      <c r="G224" s="27" t="s">
        <v>289</v>
      </c>
      <c r="H224" s="27" t="s">
        <v>222</v>
      </c>
      <c r="I224" s="27" t="s">
        <v>290</v>
      </c>
    </row>
    <row r="225" customFormat="false" ht="23.85" hidden="false" customHeight="false" outlineLevel="0" collapsed="false">
      <c r="A225" s="26" t="n">
        <v>950</v>
      </c>
      <c r="B225" s="26" t="s">
        <v>221</v>
      </c>
      <c r="C225" s="26"/>
      <c r="D225" s="27"/>
      <c r="E225" s="27"/>
      <c r="F225" s="27" t="s">
        <v>222</v>
      </c>
      <c r="G225" s="27" t="s">
        <v>291</v>
      </c>
      <c r="H225" s="27" t="s">
        <v>222</v>
      </c>
      <c r="I225" s="27" t="s">
        <v>347</v>
      </c>
    </row>
    <row r="226" customFormat="false" ht="35.05" hidden="false" customHeight="false" outlineLevel="0" collapsed="false">
      <c r="A226" s="26" t="n">
        <v>951</v>
      </c>
      <c r="B226" s="26" t="s">
        <v>221</v>
      </c>
      <c r="C226" s="26"/>
      <c r="D226" s="27"/>
      <c r="E226" s="27"/>
      <c r="F226" s="27" t="s">
        <v>222</v>
      </c>
      <c r="G226" s="27" t="s">
        <v>294</v>
      </c>
      <c r="H226" s="27" t="s">
        <v>222</v>
      </c>
      <c r="I226" s="27" t="s">
        <v>294</v>
      </c>
    </row>
    <row r="227" customFormat="false" ht="35.05" hidden="false" customHeight="false" outlineLevel="0" collapsed="false">
      <c r="A227" s="26" t="n">
        <v>953</v>
      </c>
      <c r="B227" s="26" t="s">
        <v>221</v>
      </c>
      <c r="C227" s="26"/>
      <c r="D227" s="27"/>
      <c r="E227" s="27"/>
      <c r="F227" s="27" t="s">
        <v>222</v>
      </c>
      <c r="G227" s="27" t="s">
        <v>293</v>
      </c>
      <c r="H227" s="27" t="s">
        <v>222</v>
      </c>
      <c r="I227" s="27" t="s">
        <v>293</v>
      </c>
    </row>
    <row r="228" customFormat="false" ht="15" hidden="false" customHeight="false" outlineLevel="0" collapsed="false">
      <c r="A228" s="26" t="n">
        <v>955</v>
      </c>
      <c r="B228" s="26" t="s">
        <v>221</v>
      </c>
      <c r="C228" s="26"/>
      <c r="D228" s="27"/>
      <c r="E228" s="27"/>
      <c r="F228" s="27"/>
      <c r="G228" s="27"/>
      <c r="H228" s="27" t="s">
        <v>222</v>
      </c>
      <c r="I228" s="27" t="s">
        <v>295</v>
      </c>
    </row>
    <row r="229" customFormat="false" ht="91" hidden="false" customHeight="false" outlineLevel="0" collapsed="false">
      <c r="A229" s="26" t="n">
        <v>958</v>
      </c>
      <c r="B229" s="26" t="s">
        <v>221</v>
      </c>
      <c r="C229" s="26"/>
      <c r="D229" s="27"/>
      <c r="E229" s="27"/>
      <c r="F229" s="27" t="s">
        <v>222</v>
      </c>
      <c r="G229" s="27" t="s">
        <v>296</v>
      </c>
      <c r="H229" s="27" t="s">
        <v>222</v>
      </c>
      <c r="I229" s="27" t="s">
        <v>296</v>
      </c>
    </row>
    <row r="230" customFormat="false" ht="23.85" hidden="false" customHeight="false" outlineLevel="0" collapsed="false">
      <c r="A230" s="26" t="n">
        <v>960</v>
      </c>
      <c r="B230" s="26" t="s">
        <v>221</v>
      </c>
      <c r="C230" s="26"/>
      <c r="D230" s="27"/>
      <c r="E230" s="27"/>
      <c r="F230" s="27" t="s">
        <v>222</v>
      </c>
      <c r="G230" s="27" t="s">
        <v>348</v>
      </c>
      <c r="H230" s="27"/>
      <c r="I230" s="27"/>
    </row>
    <row r="231" customFormat="false" ht="68.65" hidden="false" customHeight="false" outlineLevel="0" collapsed="false">
      <c r="A231" s="26" t="n">
        <v>965</v>
      </c>
      <c r="B231" s="26" t="s">
        <v>221</v>
      </c>
      <c r="C231" s="26"/>
      <c r="D231" s="27"/>
      <c r="E231" s="27"/>
      <c r="F231" s="27" t="s">
        <v>222</v>
      </c>
      <c r="G231" s="27" t="s">
        <v>297</v>
      </c>
      <c r="H231" s="27" t="s">
        <v>222</v>
      </c>
      <c r="I231" s="27" t="s">
        <v>297</v>
      </c>
    </row>
    <row r="232" customFormat="false" ht="35.05" hidden="false" customHeight="false" outlineLevel="0" collapsed="false">
      <c r="A232" s="26" t="n">
        <v>970</v>
      </c>
      <c r="B232" s="26" t="s">
        <v>221</v>
      </c>
      <c r="C232" s="26"/>
      <c r="D232" s="27"/>
      <c r="E232" s="27"/>
      <c r="F232" s="27" t="s">
        <v>222</v>
      </c>
      <c r="G232" s="27" t="s">
        <v>300</v>
      </c>
      <c r="H232" s="27"/>
      <c r="I232" s="27"/>
    </row>
    <row r="233" customFormat="false" ht="68.65" hidden="false" customHeight="false" outlineLevel="0" collapsed="false">
      <c r="A233" s="26" t="n">
        <v>972</v>
      </c>
      <c r="B233" s="26" t="s">
        <v>221</v>
      </c>
      <c r="C233" s="26"/>
      <c r="D233" s="27"/>
      <c r="E233" s="27"/>
      <c r="F233" s="27" t="s">
        <v>222</v>
      </c>
      <c r="G233" s="27" t="s">
        <v>298</v>
      </c>
      <c r="H233" s="27" t="s">
        <v>222</v>
      </c>
      <c r="I233" s="27" t="s">
        <v>299</v>
      </c>
    </row>
    <row r="234" customFormat="false" ht="35.05" hidden="false" customHeight="false" outlineLevel="0" collapsed="false">
      <c r="A234" s="26" t="n">
        <v>976</v>
      </c>
      <c r="B234" s="26" t="s">
        <v>221</v>
      </c>
      <c r="C234" s="26"/>
      <c r="D234" s="27"/>
      <c r="E234" s="27"/>
      <c r="F234" s="27" t="s">
        <v>222</v>
      </c>
      <c r="G234" s="27" t="s">
        <v>302</v>
      </c>
      <c r="H234" s="27" t="s">
        <v>222</v>
      </c>
      <c r="I234" s="27" t="s">
        <v>303</v>
      </c>
    </row>
    <row r="235" customFormat="false" ht="46.25" hidden="false" customHeight="false" outlineLevel="0" collapsed="false">
      <c r="A235" s="26" t="n">
        <v>978</v>
      </c>
      <c r="B235" s="26" t="s">
        <v>221</v>
      </c>
      <c r="C235" s="26"/>
      <c r="D235" s="27"/>
      <c r="E235" s="27"/>
      <c r="F235" s="27" t="s">
        <v>222</v>
      </c>
      <c r="G235" s="27" t="s">
        <v>304</v>
      </c>
      <c r="H235" s="27" t="s">
        <v>222</v>
      </c>
      <c r="I235" s="27" t="s">
        <v>349</v>
      </c>
    </row>
    <row r="236" customFormat="false" ht="46.25" hidden="false" customHeight="false" outlineLevel="0" collapsed="false">
      <c r="A236" s="26" t="n">
        <v>982</v>
      </c>
      <c r="B236" s="26" t="s">
        <v>221</v>
      </c>
      <c r="C236" s="26"/>
      <c r="D236" s="27"/>
      <c r="E236" s="27"/>
      <c r="F236" s="27" t="s">
        <v>222</v>
      </c>
      <c r="G236" s="27" t="s">
        <v>307</v>
      </c>
      <c r="H236" s="27" t="s">
        <v>222</v>
      </c>
      <c r="I236" s="27" t="s">
        <v>308</v>
      </c>
    </row>
    <row r="237" customFormat="false" ht="23.85" hidden="false" customHeight="false" outlineLevel="0" collapsed="false">
      <c r="A237" s="26" t="n">
        <v>986</v>
      </c>
      <c r="B237" s="26" t="s">
        <v>221</v>
      </c>
      <c r="C237" s="26"/>
      <c r="D237" s="27"/>
      <c r="E237" s="27"/>
      <c r="F237" s="27" t="s">
        <v>222</v>
      </c>
      <c r="G237" s="27" t="s">
        <v>309</v>
      </c>
      <c r="H237" s="27"/>
      <c r="I237" s="27"/>
    </row>
    <row r="238" customFormat="false" ht="46.25" hidden="false" customHeight="false" outlineLevel="0" collapsed="false">
      <c r="A238" s="26" t="n">
        <v>987</v>
      </c>
      <c r="B238" s="26" t="s">
        <v>221</v>
      </c>
      <c r="C238" s="26"/>
      <c r="D238" s="27"/>
      <c r="E238" s="27"/>
      <c r="F238" s="27" t="s">
        <v>222</v>
      </c>
      <c r="G238" s="27" t="s">
        <v>312</v>
      </c>
      <c r="H238" s="27" t="s">
        <v>222</v>
      </c>
      <c r="I238" s="27" t="s">
        <v>313</v>
      </c>
    </row>
    <row r="239" customFormat="false" ht="35.05" hidden="false" customHeight="false" outlineLevel="0" collapsed="false">
      <c r="A239" s="26" t="n">
        <v>991</v>
      </c>
      <c r="B239" s="26" t="s">
        <v>221</v>
      </c>
      <c r="C239" s="26"/>
      <c r="D239" s="27"/>
      <c r="E239" s="27"/>
      <c r="F239" s="27" t="s">
        <v>222</v>
      </c>
      <c r="G239" s="27" t="s">
        <v>314</v>
      </c>
      <c r="H239" s="27"/>
      <c r="I239" s="27"/>
    </row>
    <row r="240" customFormat="false" ht="23.85" hidden="false" customHeight="false" outlineLevel="0" collapsed="false">
      <c r="A240" s="26" t="n">
        <v>1011</v>
      </c>
      <c r="B240" s="26" t="s">
        <v>221</v>
      </c>
      <c r="C240" s="26"/>
      <c r="D240" s="27"/>
      <c r="E240" s="27"/>
      <c r="F240" s="27" t="s">
        <v>222</v>
      </c>
      <c r="G240" s="27" t="s">
        <v>350</v>
      </c>
      <c r="H240" s="27"/>
      <c r="I240" s="27"/>
    </row>
    <row r="241" customFormat="false" ht="57.45" hidden="false" customHeight="false" outlineLevel="0" collapsed="false">
      <c r="A241" s="26" t="n">
        <v>1012</v>
      </c>
      <c r="B241" s="26" t="s">
        <v>221</v>
      </c>
      <c r="C241" s="26"/>
      <c r="D241" s="27"/>
      <c r="E241" s="27"/>
      <c r="F241" s="27" t="s">
        <v>222</v>
      </c>
      <c r="G241" s="27" t="s">
        <v>317</v>
      </c>
      <c r="H241" s="27" t="s">
        <v>222</v>
      </c>
      <c r="I241" s="27" t="s">
        <v>317</v>
      </c>
    </row>
    <row r="242" customFormat="false" ht="35.05" hidden="false" customHeight="false" outlineLevel="0" collapsed="false">
      <c r="A242" s="26" t="n">
        <v>1015</v>
      </c>
      <c r="B242" s="26" t="s">
        <v>221</v>
      </c>
      <c r="C242" s="26"/>
      <c r="D242" s="27"/>
      <c r="E242" s="27"/>
      <c r="F242" s="27" t="s">
        <v>222</v>
      </c>
      <c r="G242" s="27" t="s">
        <v>315</v>
      </c>
      <c r="H242" s="27" t="s">
        <v>222</v>
      </c>
      <c r="I242" s="27" t="s">
        <v>315</v>
      </c>
    </row>
    <row r="243" customFormat="false" ht="35.05" hidden="false" customHeight="false" outlineLevel="0" collapsed="false">
      <c r="A243" s="26" t="n">
        <v>1018</v>
      </c>
      <c r="B243" s="26" t="s">
        <v>221</v>
      </c>
      <c r="C243" s="26"/>
      <c r="D243" s="27"/>
      <c r="E243" s="27"/>
      <c r="F243" s="27" t="s">
        <v>222</v>
      </c>
      <c r="G243" s="27" t="s">
        <v>318</v>
      </c>
      <c r="H243" s="27"/>
      <c r="I243" s="27"/>
    </row>
    <row r="244" customFormat="false" ht="15" hidden="false" customHeight="false" outlineLevel="0" collapsed="false">
      <c r="A244" s="26" t="n">
        <v>1020</v>
      </c>
      <c r="B244" s="26" t="s">
        <v>221</v>
      </c>
      <c r="C244" s="26"/>
      <c r="D244" s="27"/>
      <c r="E244" s="27"/>
      <c r="F244" s="27" t="s">
        <v>222</v>
      </c>
      <c r="G244" s="27" t="s">
        <v>319</v>
      </c>
      <c r="H244" s="27"/>
      <c r="I244" s="27"/>
    </row>
    <row r="245" customFormat="false" ht="57.45" hidden="false" customHeight="false" outlineLevel="0" collapsed="false">
      <c r="A245" s="26" t="n">
        <v>1032</v>
      </c>
      <c r="B245" s="26" t="s">
        <v>221</v>
      </c>
      <c r="C245" s="26"/>
      <c r="D245" s="27"/>
      <c r="E245" s="27"/>
      <c r="F245" s="27" t="s">
        <v>222</v>
      </c>
      <c r="G245" s="27" t="s">
        <v>320</v>
      </c>
      <c r="H245" s="27" t="s">
        <v>222</v>
      </c>
      <c r="I245" s="27" t="s">
        <v>321</v>
      </c>
    </row>
    <row r="246" customFormat="false" ht="15" hidden="false" customHeight="false" outlineLevel="0" collapsed="false">
      <c r="A246" s="26" t="n">
        <v>1038</v>
      </c>
      <c r="B246" s="26" t="s">
        <v>221</v>
      </c>
      <c r="C246" s="26"/>
      <c r="D246" s="27"/>
      <c r="E246" s="27"/>
      <c r="F246" s="27" t="s">
        <v>222</v>
      </c>
      <c r="G246" s="27" t="s">
        <v>322</v>
      </c>
      <c r="H246" s="27"/>
      <c r="I246" s="27"/>
    </row>
    <row r="247" customFormat="false" ht="15" hidden="false" customHeight="false" outlineLevel="0" collapsed="false">
      <c r="A247" s="26" t="n">
        <v>1041</v>
      </c>
      <c r="B247" s="26" t="s">
        <v>221</v>
      </c>
      <c r="C247" s="26"/>
      <c r="D247" s="27"/>
      <c r="E247" s="27"/>
      <c r="F247" s="27"/>
      <c r="G247" s="27"/>
      <c r="H247" s="27" t="s">
        <v>222</v>
      </c>
      <c r="I247" s="27" t="s">
        <v>351</v>
      </c>
    </row>
    <row r="248" customFormat="false" ht="23.85" hidden="false" customHeight="false" outlineLevel="0" collapsed="false">
      <c r="A248" s="26" t="n">
        <v>1043</v>
      </c>
      <c r="B248" s="26" t="s">
        <v>221</v>
      </c>
      <c r="C248" s="26"/>
      <c r="D248" s="27"/>
      <c r="E248" s="27"/>
      <c r="F248" s="27" t="s">
        <v>222</v>
      </c>
      <c r="G248" s="27" t="s">
        <v>324</v>
      </c>
      <c r="H248" s="27"/>
      <c r="I248" s="27"/>
    </row>
    <row r="249" customFormat="false" ht="15" hidden="false" customHeight="false" outlineLevel="0" collapsed="false">
      <c r="A249" s="26" t="n">
        <v>1044</v>
      </c>
      <c r="B249" s="26" t="s">
        <v>221</v>
      </c>
      <c r="C249" s="26"/>
      <c r="D249" s="27"/>
      <c r="E249" s="27"/>
      <c r="F249" s="27" t="s">
        <v>222</v>
      </c>
      <c r="G249" s="27" t="s">
        <v>327</v>
      </c>
      <c r="H249" s="27"/>
      <c r="I249" s="27"/>
    </row>
    <row r="250" customFormat="false" ht="23.85" hidden="false" customHeight="false" outlineLevel="0" collapsed="false">
      <c r="A250" s="26" t="n">
        <v>1045</v>
      </c>
      <c r="B250" s="26" t="s">
        <v>221</v>
      </c>
      <c r="C250" s="26"/>
      <c r="D250" s="27"/>
      <c r="E250" s="27"/>
      <c r="F250" s="27" t="s">
        <v>222</v>
      </c>
      <c r="G250" s="27" t="s">
        <v>352</v>
      </c>
      <c r="H250" s="27"/>
      <c r="I250" s="27"/>
    </row>
    <row r="251" customFormat="false" ht="57.45" hidden="false" customHeight="false" outlineLevel="0" collapsed="false">
      <c r="A251" s="26" t="n">
        <v>1046</v>
      </c>
      <c r="B251" s="26" t="s">
        <v>221</v>
      </c>
      <c r="C251" s="26"/>
      <c r="D251" s="27"/>
      <c r="E251" s="27"/>
      <c r="F251" s="27" t="s">
        <v>222</v>
      </c>
      <c r="G251" s="27" t="s">
        <v>325</v>
      </c>
      <c r="H251" s="27" t="s">
        <v>222</v>
      </c>
      <c r="I251" s="27" t="s">
        <v>326</v>
      </c>
    </row>
    <row r="252" customFormat="false" ht="79.85" hidden="false" customHeight="false" outlineLevel="0" collapsed="false">
      <c r="A252" s="26" t="n">
        <v>1048</v>
      </c>
      <c r="B252" s="26" t="s">
        <v>221</v>
      </c>
      <c r="C252" s="26"/>
      <c r="D252" s="27"/>
      <c r="E252" s="27"/>
      <c r="F252" s="27" t="s">
        <v>222</v>
      </c>
      <c r="G252" s="27" t="s">
        <v>328</v>
      </c>
      <c r="H252" s="27" t="s">
        <v>222</v>
      </c>
      <c r="I252" s="27" t="s">
        <v>328</v>
      </c>
    </row>
    <row r="253" customFormat="false" ht="23.85" hidden="false" customHeight="false" outlineLevel="0" collapsed="false">
      <c r="A253" s="26" t="n">
        <v>1051</v>
      </c>
      <c r="B253" s="26" t="s">
        <v>221</v>
      </c>
      <c r="C253" s="26"/>
      <c r="D253" s="27"/>
      <c r="E253" s="27"/>
      <c r="F253" s="27" t="s">
        <v>222</v>
      </c>
      <c r="G253" s="27" t="s">
        <v>334</v>
      </c>
      <c r="H253" s="27"/>
      <c r="I253" s="27"/>
    </row>
    <row r="254" customFormat="false" ht="46.25" hidden="false" customHeight="false" outlineLevel="0" collapsed="false">
      <c r="A254" s="26" t="n">
        <v>1053</v>
      </c>
      <c r="B254" s="26" t="s">
        <v>221</v>
      </c>
      <c r="C254" s="26"/>
      <c r="D254" s="27"/>
      <c r="E254" s="27"/>
      <c r="F254" s="27" t="s">
        <v>222</v>
      </c>
      <c r="G254" s="27" t="s">
        <v>225</v>
      </c>
      <c r="H254" s="27"/>
      <c r="I254" s="27"/>
    </row>
    <row r="255" customFormat="false" ht="23.85" hidden="false" customHeight="false" outlineLevel="0" collapsed="false">
      <c r="A255" s="26" t="n">
        <v>1054</v>
      </c>
      <c r="B255" s="26" t="s">
        <v>221</v>
      </c>
      <c r="C255" s="26"/>
      <c r="D255" s="27"/>
      <c r="E255" s="27"/>
      <c r="F255" s="27" t="s">
        <v>222</v>
      </c>
      <c r="G255" s="27" t="s">
        <v>226</v>
      </c>
      <c r="H255" s="27" t="s">
        <v>222</v>
      </c>
      <c r="I255" s="27" t="s">
        <v>226</v>
      </c>
    </row>
  </sheetData>
  <autoFilter ref="A1:I2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0"/>
  </cols>
  <sheetData>
    <row r="1" customFormat="false" ht="15" hidden="false" customHeight="false" outlineLevel="0" collapsed="false">
      <c r="A1" s="4" t="s">
        <v>353</v>
      </c>
      <c r="B1" s="4" t="s">
        <v>354</v>
      </c>
    </row>
    <row r="2" customFormat="false" ht="15" hidden="false" customHeight="false" outlineLevel="0" collapsed="false">
      <c r="A2" s="28" t="n">
        <v>1</v>
      </c>
      <c r="B2" s="29" t="s">
        <v>355</v>
      </c>
    </row>
    <row r="3" customFormat="false" ht="15" hidden="false" customHeight="false" outlineLevel="0" collapsed="false">
      <c r="A3" s="28" t="n">
        <v>2</v>
      </c>
      <c r="B3" s="29"/>
    </row>
    <row r="4" customFormat="false" ht="15" hidden="false" customHeight="false" outlineLevel="0" collapsed="false">
      <c r="A4" s="28" t="n">
        <v>3</v>
      </c>
      <c r="B4" s="29" t="s">
        <v>356</v>
      </c>
    </row>
    <row r="5" customFormat="false" ht="15" hidden="false" customHeight="false" outlineLevel="0" collapsed="false">
      <c r="A5" s="28" t="n">
        <v>4</v>
      </c>
      <c r="B5" s="29" t="s">
        <v>357</v>
      </c>
    </row>
    <row r="6" customFormat="false" ht="15" hidden="false" customHeight="false" outlineLevel="0" collapsed="false">
      <c r="A6" s="28" t="n">
        <v>5</v>
      </c>
      <c r="B6" s="29" t="s">
        <v>358</v>
      </c>
    </row>
    <row r="7" customFormat="false" ht="15" hidden="false" customHeight="false" outlineLevel="0" collapsed="false">
      <c r="A7" s="28" t="n">
        <v>6</v>
      </c>
      <c r="B7" s="29" t="s">
        <v>359</v>
      </c>
    </row>
    <row r="8" customFormat="false" ht="15" hidden="false" customHeight="false" outlineLevel="0" collapsed="false">
      <c r="A8" s="28" t="n">
        <v>7</v>
      </c>
      <c r="B8" s="29"/>
    </row>
    <row r="9" customFormat="false" ht="15" hidden="false" customHeight="false" outlineLevel="0" collapsed="false">
      <c r="A9" s="28" t="n">
        <v>8</v>
      </c>
      <c r="B9" s="29" t="s">
        <v>360</v>
      </c>
    </row>
    <row r="10" customFormat="false" ht="15" hidden="false" customHeight="false" outlineLevel="0" collapsed="false">
      <c r="A10" s="28" t="n">
        <v>9</v>
      </c>
      <c r="B10" s="29"/>
    </row>
    <row r="11" customFormat="false" ht="15" hidden="false" customHeight="false" outlineLevel="0" collapsed="false">
      <c r="A11" s="28" t="n">
        <v>10</v>
      </c>
      <c r="B11" s="29" t="s">
        <v>361</v>
      </c>
    </row>
    <row r="12" customFormat="false" ht="15" hidden="false" customHeight="false" outlineLevel="0" collapsed="false">
      <c r="A12" s="28" t="n">
        <v>11</v>
      </c>
      <c r="B12" s="29" t="s">
        <v>362</v>
      </c>
    </row>
    <row r="13" customFormat="false" ht="15" hidden="false" customHeight="false" outlineLevel="0" collapsed="false">
      <c r="A13" s="28" t="n">
        <v>12</v>
      </c>
      <c r="B13" s="29" t="s">
        <v>363</v>
      </c>
    </row>
    <row r="14" customFormat="false" ht="15" hidden="false" customHeight="false" outlineLevel="0" collapsed="false">
      <c r="A14" s="28" t="n">
        <v>13</v>
      </c>
      <c r="B14" s="29" t="s">
        <v>364</v>
      </c>
    </row>
    <row r="15" customFormat="false" ht="15" hidden="false" customHeight="false" outlineLevel="0" collapsed="false">
      <c r="A15" s="28" t="n">
        <v>14</v>
      </c>
      <c r="B15" s="29" t="s">
        <v>365</v>
      </c>
    </row>
    <row r="16" customFormat="false" ht="15" hidden="false" customHeight="false" outlineLevel="0" collapsed="false">
      <c r="A16" s="28" t="n">
        <v>15</v>
      </c>
      <c r="B16" s="29" t="s">
        <v>366</v>
      </c>
    </row>
    <row r="17" customFormat="false" ht="15" hidden="false" customHeight="false" outlineLevel="0" collapsed="false">
      <c r="A17" s="28" t="n">
        <v>16</v>
      </c>
      <c r="B17" s="29" t="s">
        <v>367</v>
      </c>
    </row>
    <row r="18" customFormat="false" ht="15" hidden="false" customHeight="false" outlineLevel="0" collapsed="false">
      <c r="A18" s="28" t="n">
        <v>17</v>
      </c>
      <c r="B18" s="29" t="s">
        <v>368</v>
      </c>
    </row>
    <row r="19" customFormat="false" ht="15" hidden="false" customHeight="false" outlineLevel="0" collapsed="false">
      <c r="A19" s="28" t="n">
        <v>18</v>
      </c>
      <c r="B19" s="29" t="s">
        <v>369</v>
      </c>
    </row>
    <row r="20" customFormat="false" ht="15" hidden="false" customHeight="false" outlineLevel="0" collapsed="false">
      <c r="A20" s="28" t="n">
        <v>19</v>
      </c>
      <c r="B20" s="29" t="s">
        <v>370</v>
      </c>
    </row>
    <row r="21" customFormat="false" ht="15" hidden="false" customHeight="false" outlineLevel="0" collapsed="false">
      <c r="A21" s="28" t="n">
        <v>20</v>
      </c>
      <c r="B21" s="29" t="s">
        <v>371</v>
      </c>
    </row>
    <row r="22" customFormat="false" ht="15" hidden="false" customHeight="false" outlineLevel="0" collapsed="false">
      <c r="A22" s="28" t="n">
        <v>21</v>
      </c>
      <c r="B22" s="29"/>
    </row>
    <row r="23" customFormat="false" ht="15" hidden="false" customHeight="false" outlineLevel="0" collapsed="false">
      <c r="A23" s="28" t="n">
        <v>22</v>
      </c>
      <c r="B23" s="29" t="s">
        <v>372</v>
      </c>
    </row>
    <row r="24" customFormat="false" ht="15" hidden="false" customHeight="false" outlineLevel="0" collapsed="false">
      <c r="A24" s="28" t="n">
        <v>23</v>
      </c>
      <c r="B24" s="29" t="s">
        <v>373</v>
      </c>
    </row>
    <row r="25" customFormat="false" ht="15" hidden="false" customHeight="false" outlineLevel="0" collapsed="false">
      <c r="A25" s="28" t="n">
        <v>24</v>
      </c>
      <c r="B25" s="29" t="s">
        <v>374</v>
      </c>
    </row>
    <row r="26" customFormat="false" ht="15" hidden="false" customHeight="false" outlineLevel="0" collapsed="false">
      <c r="A26" s="28" t="n">
        <v>25</v>
      </c>
      <c r="B26" s="29" t="s">
        <v>375</v>
      </c>
    </row>
    <row r="27" customFormat="false" ht="15" hidden="false" customHeight="false" outlineLevel="0" collapsed="false">
      <c r="A27" s="28" t="n">
        <v>26</v>
      </c>
      <c r="B27" s="29" t="s">
        <v>376</v>
      </c>
    </row>
    <row r="28" customFormat="false" ht="15" hidden="false" customHeight="false" outlineLevel="0" collapsed="false">
      <c r="A28" s="28" t="n">
        <v>27</v>
      </c>
      <c r="B28" s="29"/>
    </row>
    <row r="29" customFormat="false" ht="15" hidden="false" customHeight="false" outlineLevel="0" collapsed="false">
      <c r="A29" s="28" t="n">
        <v>28</v>
      </c>
      <c r="B29" s="29"/>
    </row>
    <row r="30" customFormat="false" ht="15" hidden="false" customHeight="false" outlineLevel="0" collapsed="false">
      <c r="A30" s="28" t="n">
        <v>29</v>
      </c>
      <c r="B30" s="29" t="s">
        <v>377</v>
      </c>
    </row>
    <row r="31" customFormat="false" ht="15" hidden="false" customHeight="false" outlineLevel="0" collapsed="false">
      <c r="A31" s="28" t="n">
        <v>30</v>
      </c>
      <c r="B31" s="29" t="s">
        <v>378</v>
      </c>
    </row>
    <row r="32" customFormat="false" ht="15" hidden="false" customHeight="false" outlineLevel="0" collapsed="false">
      <c r="A32" s="28" t="n">
        <v>31</v>
      </c>
      <c r="B32" s="29" t="s">
        <v>379</v>
      </c>
    </row>
    <row r="33" customFormat="false" ht="15" hidden="false" customHeight="false" outlineLevel="0" collapsed="false">
      <c r="A33" s="28" t="n">
        <v>32</v>
      </c>
      <c r="B33" s="29" t="s">
        <v>380</v>
      </c>
    </row>
    <row r="34" customFormat="false" ht="15" hidden="false" customHeight="false" outlineLevel="0" collapsed="false">
      <c r="A34" s="28" t="n">
        <v>33</v>
      </c>
      <c r="B34" s="29" t="s">
        <v>381</v>
      </c>
    </row>
    <row r="35" customFormat="false" ht="15" hidden="false" customHeight="false" outlineLevel="0" collapsed="false">
      <c r="A35" s="28" t="n">
        <v>34</v>
      </c>
      <c r="B35" s="29" t="s">
        <v>382</v>
      </c>
    </row>
    <row r="36" customFormat="false" ht="15" hidden="false" customHeight="false" outlineLevel="0" collapsed="false">
      <c r="A36" s="28" t="n">
        <v>35</v>
      </c>
      <c r="B36" s="29" t="s">
        <v>383</v>
      </c>
    </row>
    <row r="37" customFormat="false" ht="15" hidden="false" customHeight="false" outlineLevel="0" collapsed="false">
      <c r="A37" s="28" t="n">
        <v>36</v>
      </c>
      <c r="B37" s="29" t="s">
        <v>384</v>
      </c>
    </row>
    <row r="38" customFormat="false" ht="15" hidden="false" customHeight="false" outlineLevel="0" collapsed="false">
      <c r="A38" s="28" t="n">
        <v>37</v>
      </c>
      <c r="B38" s="29" t="s">
        <v>385</v>
      </c>
    </row>
    <row r="39" customFormat="false" ht="15" hidden="false" customHeight="false" outlineLevel="0" collapsed="false">
      <c r="A39" s="28" t="n">
        <v>38</v>
      </c>
      <c r="B39" s="29"/>
    </row>
    <row r="40" customFormat="false" ht="15" hidden="false" customHeight="false" outlineLevel="0" collapsed="false">
      <c r="A40" s="28" t="n">
        <v>39</v>
      </c>
      <c r="B40" s="29"/>
    </row>
    <row r="41" customFormat="false" ht="15" hidden="false" customHeight="false" outlineLevel="0" collapsed="false">
      <c r="A41" s="28" t="n">
        <v>40</v>
      </c>
      <c r="B41" s="29" t="s">
        <v>386</v>
      </c>
    </row>
    <row r="42" customFormat="false" ht="15" hidden="false" customHeight="false" outlineLevel="0" collapsed="false">
      <c r="A42" s="28" t="n">
        <v>41</v>
      </c>
      <c r="B42" s="29" t="s">
        <v>387</v>
      </c>
    </row>
    <row r="43" customFormat="false" ht="15" hidden="false" customHeight="false" outlineLevel="0" collapsed="false">
      <c r="A43" s="28" t="n">
        <v>42</v>
      </c>
      <c r="B43" s="29" t="s">
        <v>388</v>
      </c>
    </row>
    <row r="44" customFormat="false" ht="15" hidden="false" customHeight="false" outlineLevel="0" collapsed="false">
      <c r="A44" s="28" t="n">
        <v>43</v>
      </c>
      <c r="B44" s="29" t="s">
        <v>389</v>
      </c>
    </row>
    <row r="45" customFormat="false" ht="15" hidden="false" customHeight="false" outlineLevel="0" collapsed="false">
      <c r="A45" s="28" t="n">
        <v>44</v>
      </c>
      <c r="B45" s="29" t="s">
        <v>390</v>
      </c>
    </row>
    <row r="46" customFormat="false" ht="15" hidden="false" customHeight="false" outlineLevel="0" collapsed="false">
      <c r="A46" s="28" t="n">
        <v>45</v>
      </c>
      <c r="B46" s="29" t="s">
        <v>391</v>
      </c>
    </row>
    <row r="47" customFormat="false" ht="15" hidden="false" customHeight="false" outlineLevel="0" collapsed="false">
      <c r="A47" s="28" t="n">
        <v>46</v>
      </c>
      <c r="B47" s="29"/>
    </row>
    <row r="48" customFormat="false" ht="15" hidden="false" customHeight="false" outlineLevel="0" collapsed="false">
      <c r="A48" s="28" t="n">
        <v>47</v>
      </c>
      <c r="B48" s="29"/>
    </row>
    <row r="49" customFormat="false" ht="15" hidden="false" customHeight="false" outlineLevel="0" collapsed="false">
      <c r="A49" s="28" t="n">
        <v>48</v>
      </c>
      <c r="B49" s="29" t="s">
        <v>392</v>
      </c>
    </row>
    <row r="50" customFormat="false" ht="15" hidden="false" customHeight="false" outlineLevel="0" collapsed="false">
      <c r="A50" s="28" t="n">
        <v>49</v>
      </c>
      <c r="B50" s="29" t="s">
        <v>393</v>
      </c>
    </row>
    <row r="51" customFormat="false" ht="15" hidden="false" customHeight="false" outlineLevel="0" collapsed="false">
      <c r="A51" s="28" t="n">
        <v>50</v>
      </c>
      <c r="B51" s="29" t="s">
        <v>394</v>
      </c>
    </row>
    <row r="52" customFormat="false" ht="15" hidden="false" customHeight="false" outlineLevel="0" collapsed="false">
      <c r="A52" s="28" t="n">
        <v>51</v>
      </c>
      <c r="B52" s="29" t="s">
        <v>395</v>
      </c>
    </row>
    <row r="53" customFormat="false" ht="15" hidden="false" customHeight="false" outlineLevel="0" collapsed="false">
      <c r="A53" s="28" t="n">
        <v>52</v>
      </c>
      <c r="B53" s="29" t="s">
        <v>396</v>
      </c>
    </row>
    <row r="54" customFormat="false" ht="15" hidden="false" customHeight="false" outlineLevel="0" collapsed="false">
      <c r="A54" s="28" t="n">
        <v>53</v>
      </c>
      <c r="B54" s="29" t="s">
        <v>397</v>
      </c>
    </row>
    <row r="55" customFormat="false" ht="15" hidden="false" customHeight="false" outlineLevel="0" collapsed="false">
      <c r="A55" s="28" t="n">
        <v>54</v>
      </c>
      <c r="B55" s="29" t="s">
        <v>398</v>
      </c>
    </row>
    <row r="56" customFormat="false" ht="15" hidden="false" customHeight="false" outlineLevel="0" collapsed="false">
      <c r="A56" s="28" t="n">
        <v>55</v>
      </c>
      <c r="B56" s="29" t="s">
        <v>399</v>
      </c>
    </row>
    <row r="57" customFormat="false" ht="15" hidden="false" customHeight="false" outlineLevel="0" collapsed="false">
      <c r="A57" s="28" t="n">
        <v>56</v>
      </c>
      <c r="B57" s="29" t="s">
        <v>400</v>
      </c>
    </row>
    <row r="58" customFormat="false" ht="15" hidden="false" customHeight="false" outlineLevel="0" collapsed="false">
      <c r="A58" s="28" t="n">
        <v>57</v>
      </c>
      <c r="B58" s="29" t="s">
        <v>401</v>
      </c>
    </row>
    <row r="59" customFormat="false" ht="15" hidden="false" customHeight="false" outlineLevel="0" collapsed="false">
      <c r="A59" s="28" t="n">
        <v>58</v>
      </c>
      <c r="B59" s="29" t="s">
        <v>402</v>
      </c>
    </row>
    <row r="60" customFormat="false" ht="15" hidden="false" customHeight="false" outlineLevel="0" collapsed="false">
      <c r="A60" s="28" t="n">
        <v>59</v>
      </c>
      <c r="B60" s="29" t="s">
        <v>403</v>
      </c>
    </row>
    <row r="61" customFormat="false" ht="15" hidden="false" customHeight="false" outlineLevel="0" collapsed="false">
      <c r="A61" s="28" t="n">
        <v>60</v>
      </c>
      <c r="B61" s="29" t="s">
        <v>404</v>
      </c>
    </row>
    <row r="62" customFormat="false" ht="15" hidden="false" customHeight="false" outlineLevel="0" collapsed="false">
      <c r="A62" s="28" t="n">
        <v>61</v>
      </c>
      <c r="B62" s="29" t="s">
        <v>405</v>
      </c>
    </row>
    <row r="63" customFormat="false" ht="15" hidden="false" customHeight="false" outlineLevel="0" collapsed="false">
      <c r="A63" s="28" t="n">
        <v>62</v>
      </c>
      <c r="B63" s="29"/>
    </row>
    <row r="64" customFormat="false" ht="15" hidden="false" customHeight="false" outlineLevel="0" collapsed="false">
      <c r="A64" s="28" t="n">
        <v>63</v>
      </c>
      <c r="B64" s="29"/>
    </row>
    <row r="65" customFormat="false" ht="15" hidden="false" customHeight="false" outlineLevel="0" collapsed="false">
      <c r="A65" s="28" t="n">
        <v>64</v>
      </c>
      <c r="B65" s="29" t="s">
        <v>406</v>
      </c>
    </row>
    <row r="66" customFormat="false" ht="15" hidden="false" customHeight="false" outlineLevel="0" collapsed="false">
      <c r="A66" s="28" t="n">
        <v>65</v>
      </c>
      <c r="B66" s="29" t="s">
        <v>407</v>
      </c>
    </row>
    <row r="67" customFormat="false" ht="15" hidden="false" customHeight="false" outlineLevel="0" collapsed="false">
      <c r="A67" s="28" t="n">
        <v>66</v>
      </c>
      <c r="B67" s="29"/>
    </row>
    <row r="68" customFormat="false" ht="15" hidden="false" customHeight="false" outlineLevel="0" collapsed="false">
      <c r="A68" s="28" t="n">
        <v>67</v>
      </c>
      <c r="B68" s="29"/>
    </row>
    <row r="69" customFormat="false" ht="15" hidden="false" customHeight="false" outlineLevel="0" collapsed="false">
      <c r="A69" s="28" t="n">
        <v>68</v>
      </c>
      <c r="B69" s="29" t="s">
        <v>408</v>
      </c>
    </row>
    <row r="70" customFormat="false" ht="15" hidden="false" customHeight="false" outlineLevel="0" collapsed="false">
      <c r="A70" s="28" t="n">
        <v>69</v>
      </c>
      <c r="B70" s="29" t="s">
        <v>409</v>
      </c>
    </row>
    <row r="71" customFormat="false" ht="15" hidden="false" customHeight="false" outlineLevel="0" collapsed="false">
      <c r="A71" s="28" t="n">
        <v>70</v>
      </c>
      <c r="B71" s="29" t="s">
        <v>410</v>
      </c>
    </row>
    <row r="72" customFormat="false" ht="15" hidden="false" customHeight="false" outlineLevel="0" collapsed="false">
      <c r="A72" s="28" t="n">
        <v>71</v>
      </c>
      <c r="B72" s="29"/>
    </row>
    <row r="73" customFormat="false" ht="15" hidden="false" customHeight="false" outlineLevel="0" collapsed="false">
      <c r="A73" s="28" t="n">
        <v>72</v>
      </c>
      <c r="B73" s="29"/>
    </row>
    <row r="74" customFormat="false" ht="15" hidden="false" customHeight="false" outlineLevel="0" collapsed="false">
      <c r="A74" s="28" t="n">
        <v>73</v>
      </c>
      <c r="B74" s="29" t="s">
        <v>411</v>
      </c>
    </row>
    <row r="75" customFormat="false" ht="15" hidden="false" customHeight="false" outlineLevel="0" collapsed="false">
      <c r="A75" s="28" t="n">
        <v>74</v>
      </c>
      <c r="B75" s="29" t="s">
        <v>412</v>
      </c>
    </row>
    <row r="76" customFormat="false" ht="15" hidden="false" customHeight="false" outlineLevel="0" collapsed="false">
      <c r="A76" s="28" t="n">
        <v>75</v>
      </c>
      <c r="B76" s="29" t="s">
        <v>413</v>
      </c>
    </row>
    <row r="77" customFormat="false" ht="15" hidden="false" customHeight="false" outlineLevel="0" collapsed="false">
      <c r="A77" s="28" t="n">
        <v>76</v>
      </c>
      <c r="B77" s="29" t="s">
        <v>414</v>
      </c>
    </row>
    <row r="78" customFormat="false" ht="15" hidden="false" customHeight="false" outlineLevel="0" collapsed="false">
      <c r="A78" s="28" t="n">
        <v>77</v>
      </c>
      <c r="B78" s="29" t="s">
        <v>415</v>
      </c>
    </row>
    <row r="79" customFormat="false" ht="15" hidden="false" customHeight="false" outlineLevel="0" collapsed="false">
      <c r="A79" s="28" t="n">
        <v>78</v>
      </c>
      <c r="B79" s="29" t="s">
        <v>416</v>
      </c>
    </row>
    <row r="80" customFormat="false" ht="15" hidden="false" customHeight="false" outlineLevel="0" collapsed="false">
      <c r="A80" s="28" t="n">
        <v>79</v>
      </c>
      <c r="B80" s="29" t="s">
        <v>417</v>
      </c>
    </row>
    <row r="81" customFormat="false" ht="15" hidden="false" customHeight="false" outlineLevel="0" collapsed="false">
      <c r="A81" s="28" t="n">
        <v>80</v>
      </c>
      <c r="B81" s="29" t="s">
        <v>418</v>
      </c>
    </row>
    <row r="82" customFormat="false" ht="15" hidden="false" customHeight="false" outlineLevel="0" collapsed="false">
      <c r="A82" s="28" t="n">
        <v>81</v>
      </c>
      <c r="B82" s="29" t="s">
        <v>419</v>
      </c>
    </row>
    <row r="83" customFormat="false" ht="15" hidden="false" customHeight="false" outlineLevel="0" collapsed="false">
      <c r="A83" s="28" t="n">
        <v>82</v>
      </c>
      <c r="B83" s="29" t="s">
        <v>420</v>
      </c>
    </row>
    <row r="84" customFormat="false" ht="15" hidden="false" customHeight="false" outlineLevel="0" collapsed="false">
      <c r="A84" s="28" t="n">
        <v>83</v>
      </c>
      <c r="B84" s="29" t="s">
        <v>421</v>
      </c>
    </row>
    <row r="85" customFormat="false" ht="15" hidden="false" customHeight="false" outlineLevel="0" collapsed="false">
      <c r="A85" s="28" t="n">
        <v>84</v>
      </c>
      <c r="B85" s="29" t="s">
        <v>422</v>
      </c>
    </row>
    <row r="86" customFormat="false" ht="15" hidden="false" customHeight="false" outlineLevel="0" collapsed="false">
      <c r="A86" s="28" t="n">
        <v>85</v>
      </c>
      <c r="B86" s="29" t="s">
        <v>423</v>
      </c>
    </row>
    <row r="87" customFormat="false" ht="15" hidden="false" customHeight="false" outlineLevel="0" collapsed="false">
      <c r="A87" s="28" t="n">
        <v>86</v>
      </c>
      <c r="B87" s="29" t="s">
        <v>424</v>
      </c>
    </row>
    <row r="88" customFormat="false" ht="15" hidden="false" customHeight="false" outlineLevel="0" collapsed="false">
      <c r="A88" s="28" t="n">
        <v>87</v>
      </c>
      <c r="B88" s="29" t="s">
        <v>425</v>
      </c>
    </row>
    <row r="89" customFormat="false" ht="15" hidden="false" customHeight="false" outlineLevel="0" collapsed="false">
      <c r="A89" s="28" t="n">
        <v>88</v>
      </c>
      <c r="B89" s="29" t="s">
        <v>426</v>
      </c>
    </row>
    <row r="90" customFormat="false" ht="15" hidden="false" customHeight="false" outlineLevel="0" collapsed="false">
      <c r="A90" s="28" t="n">
        <v>89</v>
      </c>
      <c r="B90" s="29" t="s">
        <v>427</v>
      </c>
    </row>
    <row r="91" customFormat="false" ht="15" hidden="false" customHeight="false" outlineLevel="0" collapsed="false">
      <c r="A91" s="28" t="n">
        <v>90</v>
      </c>
      <c r="B91" s="29" t="s">
        <v>428</v>
      </c>
    </row>
    <row r="92" customFormat="false" ht="15" hidden="false" customHeight="false" outlineLevel="0" collapsed="false">
      <c r="A92" s="28" t="n">
        <v>91</v>
      </c>
      <c r="B92" s="29" t="s">
        <v>429</v>
      </c>
    </row>
    <row r="93" customFormat="false" ht="15" hidden="false" customHeight="false" outlineLevel="0" collapsed="false">
      <c r="A93" s="28" t="n">
        <v>92</v>
      </c>
      <c r="B93" s="29" t="s">
        <v>430</v>
      </c>
    </row>
    <row r="94" customFormat="false" ht="15" hidden="false" customHeight="false" outlineLevel="0" collapsed="false">
      <c r="A94" s="28" t="n">
        <v>93</v>
      </c>
      <c r="B94" s="29" t="s">
        <v>431</v>
      </c>
    </row>
    <row r="95" customFormat="false" ht="15" hidden="false" customHeight="false" outlineLevel="0" collapsed="false">
      <c r="A95" s="28" t="n">
        <v>94</v>
      </c>
      <c r="B95" s="29" t="s">
        <v>432</v>
      </c>
    </row>
    <row r="96" customFormat="false" ht="15" hidden="false" customHeight="false" outlineLevel="0" collapsed="false">
      <c r="A96" s="28" t="n">
        <v>95</v>
      </c>
      <c r="B96" s="29" t="s">
        <v>433</v>
      </c>
    </row>
    <row r="97" customFormat="false" ht="15" hidden="false" customHeight="false" outlineLevel="0" collapsed="false">
      <c r="A97" s="28" t="n">
        <v>96</v>
      </c>
      <c r="B97" s="29" t="s">
        <v>434</v>
      </c>
    </row>
    <row r="98" customFormat="false" ht="15" hidden="false" customHeight="false" outlineLevel="0" collapsed="false">
      <c r="A98" s="28" t="n">
        <v>97</v>
      </c>
      <c r="B98" s="29" t="s">
        <v>435</v>
      </c>
    </row>
    <row r="99" customFormat="false" ht="15" hidden="false" customHeight="false" outlineLevel="0" collapsed="false">
      <c r="A99" s="28" t="n">
        <v>98</v>
      </c>
      <c r="B99" s="29" t="s">
        <v>436</v>
      </c>
    </row>
    <row r="100" customFormat="false" ht="15" hidden="false" customHeight="false" outlineLevel="0" collapsed="false">
      <c r="A100" s="28" t="n">
        <v>99</v>
      </c>
      <c r="B100" s="29" t="s">
        <v>437</v>
      </c>
    </row>
    <row r="101" customFormat="false" ht="15" hidden="false" customHeight="false" outlineLevel="0" collapsed="false">
      <c r="A101" s="28" t="n">
        <v>100</v>
      </c>
      <c r="B101" s="29" t="s">
        <v>438</v>
      </c>
    </row>
    <row r="102" customFormat="false" ht="15" hidden="false" customHeight="false" outlineLevel="0" collapsed="false">
      <c r="A102" s="28" t="n">
        <v>101</v>
      </c>
      <c r="B102" s="29" t="s">
        <v>439</v>
      </c>
    </row>
    <row r="103" customFormat="false" ht="15" hidden="false" customHeight="false" outlineLevel="0" collapsed="false">
      <c r="A103" s="28" t="n">
        <v>102</v>
      </c>
      <c r="B103" s="29" t="s">
        <v>440</v>
      </c>
    </row>
    <row r="104" customFormat="false" ht="15" hidden="false" customHeight="false" outlineLevel="0" collapsed="false">
      <c r="A104" s="28" t="n">
        <v>103</v>
      </c>
      <c r="B104" s="29"/>
    </row>
    <row r="105" customFormat="false" ht="15" hidden="false" customHeight="false" outlineLevel="0" collapsed="false">
      <c r="A105" s="28" t="n">
        <v>104</v>
      </c>
      <c r="B105" s="29"/>
    </row>
    <row r="106" customFormat="false" ht="15" hidden="false" customHeight="false" outlineLevel="0" collapsed="false">
      <c r="A106" s="28" t="n">
        <v>105</v>
      </c>
      <c r="B106" s="29" t="s">
        <v>441</v>
      </c>
    </row>
    <row r="107" customFormat="false" ht="15" hidden="false" customHeight="false" outlineLevel="0" collapsed="false">
      <c r="A107" s="28" t="n">
        <v>106</v>
      </c>
      <c r="B107" s="29" t="s">
        <v>442</v>
      </c>
    </row>
    <row r="108" customFormat="false" ht="15" hidden="false" customHeight="false" outlineLevel="0" collapsed="false">
      <c r="A108" s="28" t="n">
        <v>107</v>
      </c>
      <c r="B108" s="29" t="s">
        <v>443</v>
      </c>
    </row>
    <row r="109" customFormat="false" ht="15" hidden="false" customHeight="false" outlineLevel="0" collapsed="false">
      <c r="A109" s="28" t="n">
        <v>108</v>
      </c>
      <c r="B109" s="29" t="s">
        <v>444</v>
      </c>
    </row>
    <row r="110" customFormat="false" ht="15" hidden="false" customHeight="false" outlineLevel="0" collapsed="false">
      <c r="A110" s="28" t="n">
        <v>109</v>
      </c>
      <c r="B110" s="29" t="s">
        <v>445</v>
      </c>
    </row>
    <row r="111" customFormat="false" ht="15" hidden="false" customHeight="false" outlineLevel="0" collapsed="false">
      <c r="A111" s="28" t="n">
        <v>110</v>
      </c>
      <c r="B111" s="29"/>
    </row>
    <row r="112" customFormat="false" ht="15" hidden="false" customHeight="false" outlineLevel="0" collapsed="false">
      <c r="A112" s="28" t="n">
        <v>111</v>
      </c>
      <c r="B112" s="29"/>
    </row>
    <row r="113" customFormat="false" ht="15" hidden="false" customHeight="false" outlineLevel="0" collapsed="false">
      <c r="A113" s="28" t="n">
        <v>112</v>
      </c>
      <c r="B113" s="29" t="s">
        <v>446</v>
      </c>
    </row>
    <row r="114" customFormat="false" ht="15" hidden="false" customHeight="false" outlineLevel="0" collapsed="false">
      <c r="A114" s="28" t="n">
        <v>113</v>
      </c>
      <c r="B114" s="29" t="s">
        <v>447</v>
      </c>
    </row>
    <row r="115" customFormat="false" ht="15" hidden="false" customHeight="false" outlineLevel="0" collapsed="false">
      <c r="A115" s="28" t="n">
        <v>114</v>
      </c>
      <c r="B115" s="29" t="s">
        <v>448</v>
      </c>
    </row>
    <row r="116" customFormat="false" ht="15" hidden="false" customHeight="false" outlineLevel="0" collapsed="false">
      <c r="A116" s="28" t="n">
        <v>115</v>
      </c>
      <c r="B116" s="29" t="s">
        <v>449</v>
      </c>
    </row>
    <row r="117" customFormat="false" ht="15" hidden="false" customHeight="false" outlineLevel="0" collapsed="false">
      <c r="A117" s="28" t="n">
        <v>116</v>
      </c>
      <c r="B117" s="29" t="s">
        <v>450</v>
      </c>
    </row>
    <row r="118" customFormat="false" ht="15" hidden="false" customHeight="false" outlineLevel="0" collapsed="false">
      <c r="A118" s="28" t="n">
        <v>117</v>
      </c>
      <c r="B118" s="29"/>
    </row>
    <row r="119" customFormat="false" ht="15" hidden="false" customHeight="false" outlineLevel="0" collapsed="false">
      <c r="A119" s="28" t="n">
        <v>118</v>
      </c>
      <c r="B119" s="29"/>
    </row>
    <row r="120" customFormat="false" ht="15" hidden="false" customHeight="false" outlineLevel="0" collapsed="false">
      <c r="A120" s="28" t="n">
        <v>119</v>
      </c>
      <c r="B120" s="29" t="s">
        <v>451</v>
      </c>
    </row>
    <row r="121" customFormat="false" ht="15" hidden="false" customHeight="false" outlineLevel="0" collapsed="false">
      <c r="A121" s="28" t="n">
        <v>120</v>
      </c>
      <c r="B121" s="29" t="s">
        <v>452</v>
      </c>
    </row>
    <row r="122" customFormat="false" ht="15" hidden="false" customHeight="false" outlineLevel="0" collapsed="false">
      <c r="A122" s="28" t="n">
        <v>121</v>
      </c>
      <c r="B122" s="29" t="s">
        <v>453</v>
      </c>
    </row>
    <row r="123" customFormat="false" ht="15" hidden="false" customHeight="false" outlineLevel="0" collapsed="false">
      <c r="A123" s="28" t="n">
        <v>122</v>
      </c>
      <c r="B123" s="29" t="s">
        <v>454</v>
      </c>
    </row>
    <row r="124" customFormat="false" ht="15" hidden="false" customHeight="false" outlineLevel="0" collapsed="false">
      <c r="A124" s="28" t="n">
        <v>123</v>
      </c>
      <c r="B124" s="29" t="s">
        <v>455</v>
      </c>
    </row>
    <row r="125" customFormat="false" ht="15" hidden="false" customHeight="false" outlineLevel="0" collapsed="false">
      <c r="A125" s="28" t="n">
        <v>124</v>
      </c>
      <c r="B125" s="29" t="s">
        <v>456</v>
      </c>
    </row>
    <row r="126" customFormat="false" ht="15" hidden="false" customHeight="false" outlineLevel="0" collapsed="false">
      <c r="A126" s="28" t="n">
        <v>125</v>
      </c>
      <c r="B126" s="29" t="s">
        <v>457</v>
      </c>
    </row>
    <row r="127" customFormat="false" ht="15" hidden="false" customHeight="false" outlineLevel="0" collapsed="false">
      <c r="A127" s="28" t="n">
        <v>126</v>
      </c>
      <c r="B127" s="29" t="s">
        <v>458</v>
      </c>
    </row>
    <row r="128" customFormat="false" ht="15" hidden="false" customHeight="false" outlineLevel="0" collapsed="false">
      <c r="A128" s="28" t="n">
        <v>127</v>
      </c>
      <c r="B128" s="29" t="s">
        <v>459</v>
      </c>
    </row>
    <row r="129" customFormat="false" ht="15" hidden="false" customHeight="false" outlineLevel="0" collapsed="false">
      <c r="A129" s="28" t="n">
        <v>128</v>
      </c>
      <c r="B129" s="29" t="s">
        <v>460</v>
      </c>
    </row>
    <row r="130" customFormat="false" ht="15" hidden="false" customHeight="false" outlineLevel="0" collapsed="false">
      <c r="A130" s="28" t="n">
        <v>129</v>
      </c>
      <c r="B130" s="29" t="s">
        <v>461</v>
      </c>
    </row>
    <row r="131" customFormat="false" ht="15" hidden="false" customHeight="false" outlineLevel="0" collapsed="false">
      <c r="A131" s="28" t="n">
        <v>130</v>
      </c>
      <c r="B131" s="29" t="s">
        <v>462</v>
      </c>
    </row>
    <row r="132" customFormat="false" ht="15" hidden="false" customHeight="false" outlineLevel="0" collapsed="false">
      <c r="A132" s="28" t="n">
        <v>131</v>
      </c>
      <c r="B132" s="29" t="s">
        <v>463</v>
      </c>
    </row>
    <row r="133" customFormat="false" ht="15" hidden="false" customHeight="false" outlineLevel="0" collapsed="false">
      <c r="A133" s="28" t="n">
        <v>132</v>
      </c>
      <c r="B133" s="29" t="s">
        <v>464</v>
      </c>
    </row>
    <row r="134" customFormat="false" ht="15" hidden="false" customHeight="false" outlineLevel="0" collapsed="false">
      <c r="A134" s="28" t="n">
        <v>133</v>
      </c>
      <c r="B134" s="29" t="s">
        <v>465</v>
      </c>
    </row>
    <row r="135" customFormat="false" ht="15" hidden="false" customHeight="false" outlineLevel="0" collapsed="false">
      <c r="A135" s="28" t="n">
        <v>134</v>
      </c>
      <c r="B135" s="29" t="s">
        <v>466</v>
      </c>
    </row>
    <row r="136" customFormat="false" ht="15" hidden="false" customHeight="false" outlineLevel="0" collapsed="false">
      <c r="A136" s="28" t="n">
        <v>135</v>
      </c>
      <c r="B136" s="29" t="s">
        <v>467</v>
      </c>
    </row>
    <row r="137" customFormat="false" ht="15" hidden="false" customHeight="false" outlineLevel="0" collapsed="false">
      <c r="A137" s="28" t="n">
        <v>136</v>
      </c>
      <c r="B137" s="29" t="s">
        <v>468</v>
      </c>
    </row>
    <row r="138" customFormat="false" ht="15" hidden="false" customHeight="false" outlineLevel="0" collapsed="false">
      <c r="A138" s="28" t="n">
        <v>137</v>
      </c>
      <c r="B138" s="29" t="s">
        <v>469</v>
      </c>
    </row>
    <row r="139" customFormat="false" ht="15" hidden="false" customHeight="false" outlineLevel="0" collapsed="false">
      <c r="A139" s="28" t="n">
        <v>138</v>
      </c>
      <c r="B139" s="29" t="s">
        <v>470</v>
      </c>
    </row>
    <row r="140" customFormat="false" ht="15" hidden="false" customHeight="false" outlineLevel="0" collapsed="false">
      <c r="A140" s="28" t="n">
        <v>139</v>
      </c>
      <c r="B140" s="29" t="s">
        <v>471</v>
      </c>
    </row>
    <row r="141" customFormat="false" ht="15" hidden="false" customHeight="false" outlineLevel="0" collapsed="false">
      <c r="A141" s="28" t="n">
        <v>140</v>
      </c>
      <c r="B141" s="29" t="s">
        <v>472</v>
      </c>
    </row>
    <row r="142" customFormat="false" ht="15" hidden="false" customHeight="false" outlineLevel="0" collapsed="false">
      <c r="A142" s="28" t="n">
        <v>141</v>
      </c>
      <c r="B142" s="29" t="s">
        <v>473</v>
      </c>
    </row>
    <row r="143" customFormat="false" ht="15" hidden="false" customHeight="false" outlineLevel="0" collapsed="false">
      <c r="A143" s="28" t="n">
        <v>142</v>
      </c>
      <c r="B143" s="29" t="s">
        <v>474</v>
      </c>
    </row>
    <row r="144" customFormat="false" ht="15" hidden="false" customHeight="false" outlineLevel="0" collapsed="false">
      <c r="A144" s="28" t="n">
        <v>143</v>
      </c>
      <c r="B144" s="29" t="s">
        <v>475</v>
      </c>
    </row>
    <row r="145" customFormat="false" ht="15" hidden="false" customHeight="false" outlineLevel="0" collapsed="false">
      <c r="A145" s="28" t="n">
        <v>144</v>
      </c>
      <c r="B145" s="29" t="s">
        <v>476</v>
      </c>
    </row>
    <row r="146" customFormat="false" ht="15" hidden="false" customHeight="false" outlineLevel="0" collapsed="false">
      <c r="A146" s="28" t="n">
        <v>145</v>
      </c>
      <c r="B146" s="29" t="s">
        <v>474</v>
      </c>
    </row>
    <row r="147" customFormat="false" ht="15" hidden="false" customHeight="false" outlineLevel="0" collapsed="false">
      <c r="A147" s="28" t="n">
        <v>146</v>
      </c>
      <c r="B147" s="29" t="s">
        <v>477</v>
      </c>
    </row>
    <row r="148" customFormat="false" ht="15" hidden="false" customHeight="false" outlineLevel="0" collapsed="false">
      <c r="A148" s="28" t="n">
        <v>147</v>
      </c>
      <c r="B148" s="29" t="s">
        <v>478</v>
      </c>
    </row>
    <row r="149" customFormat="false" ht="15" hidden="false" customHeight="false" outlineLevel="0" collapsed="false">
      <c r="A149" s="28" t="n">
        <v>148</v>
      </c>
      <c r="B149" s="29" t="s">
        <v>479</v>
      </c>
    </row>
    <row r="150" customFormat="false" ht="15" hidden="false" customHeight="false" outlineLevel="0" collapsed="false">
      <c r="A150" s="28" t="n">
        <v>149</v>
      </c>
      <c r="B150" s="29" t="s">
        <v>480</v>
      </c>
    </row>
    <row r="151" customFormat="false" ht="15" hidden="false" customHeight="false" outlineLevel="0" collapsed="false">
      <c r="A151" s="28" t="n">
        <v>150</v>
      </c>
      <c r="B151" s="29" t="s">
        <v>481</v>
      </c>
    </row>
    <row r="152" customFormat="false" ht="15" hidden="false" customHeight="false" outlineLevel="0" collapsed="false">
      <c r="A152" s="28" t="n">
        <v>151</v>
      </c>
      <c r="B152" s="29" t="s">
        <v>482</v>
      </c>
    </row>
    <row r="153" customFormat="false" ht="15" hidden="false" customHeight="false" outlineLevel="0" collapsed="false">
      <c r="A153" s="28" t="n">
        <v>152</v>
      </c>
      <c r="B153" s="29"/>
    </row>
    <row r="154" customFormat="false" ht="15" hidden="false" customHeight="false" outlineLevel="0" collapsed="false">
      <c r="A154" s="28" t="n">
        <v>153</v>
      </c>
      <c r="B154" s="29" t="s">
        <v>483</v>
      </c>
    </row>
    <row r="155" customFormat="false" ht="15" hidden="false" customHeight="false" outlineLevel="0" collapsed="false">
      <c r="A155" s="28" t="n">
        <v>154</v>
      </c>
      <c r="B155" s="29" t="s">
        <v>484</v>
      </c>
    </row>
    <row r="156" customFormat="false" ht="15" hidden="false" customHeight="false" outlineLevel="0" collapsed="false">
      <c r="A156" s="28" t="n">
        <v>155</v>
      </c>
      <c r="B156" s="29" t="s">
        <v>485</v>
      </c>
    </row>
    <row r="157" customFormat="false" ht="15" hidden="false" customHeight="false" outlineLevel="0" collapsed="false">
      <c r="A157" s="28" t="n">
        <v>156</v>
      </c>
      <c r="B157" s="29" t="s">
        <v>486</v>
      </c>
    </row>
    <row r="158" customFormat="false" ht="15" hidden="false" customHeight="false" outlineLevel="0" collapsed="false">
      <c r="A158" s="28" t="n">
        <v>157</v>
      </c>
      <c r="B158" s="29" t="s">
        <v>487</v>
      </c>
    </row>
    <row r="159" customFormat="false" ht="15" hidden="false" customHeight="false" outlineLevel="0" collapsed="false">
      <c r="A159" s="28" t="n">
        <v>158</v>
      </c>
      <c r="B159" s="29" t="s">
        <v>488</v>
      </c>
    </row>
    <row r="160" customFormat="false" ht="15" hidden="false" customHeight="false" outlineLevel="0" collapsed="false">
      <c r="A160" s="28" t="n">
        <v>159</v>
      </c>
      <c r="B160" s="29"/>
    </row>
    <row r="161" customFormat="false" ht="15" hidden="false" customHeight="false" outlineLevel="0" collapsed="false">
      <c r="A161" s="28" t="n">
        <v>160</v>
      </c>
      <c r="B161" s="29" t="s">
        <v>489</v>
      </c>
    </row>
    <row r="162" customFormat="false" ht="15" hidden="false" customHeight="false" outlineLevel="0" collapsed="false">
      <c r="A162" s="28" t="n">
        <v>161</v>
      </c>
      <c r="B162" s="29" t="s">
        <v>490</v>
      </c>
    </row>
    <row r="163" customFormat="false" ht="15" hidden="false" customHeight="false" outlineLevel="0" collapsed="false">
      <c r="A163" s="28" t="n">
        <v>162</v>
      </c>
      <c r="B163" s="29" t="s">
        <v>491</v>
      </c>
    </row>
    <row r="164" customFormat="false" ht="15" hidden="false" customHeight="false" outlineLevel="0" collapsed="false">
      <c r="A164" s="28" t="n">
        <v>163</v>
      </c>
      <c r="B164" s="29" t="s">
        <v>492</v>
      </c>
    </row>
    <row r="165" customFormat="false" ht="15" hidden="false" customHeight="false" outlineLevel="0" collapsed="false">
      <c r="A165" s="28" t="n">
        <v>164</v>
      </c>
      <c r="B165" s="29" t="s">
        <v>493</v>
      </c>
    </row>
    <row r="166" customFormat="false" ht="15" hidden="false" customHeight="false" outlineLevel="0" collapsed="false">
      <c r="A166" s="28" t="n">
        <v>165</v>
      </c>
      <c r="B166" s="29"/>
    </row>
    <row r="167" customFormat="false" ht="15" hidden="false" customHeight="false" outlineLevel="0" collapsed="false">
      <c r="A167" s="28" t="n">
        <v>166</v>
      </c>
      <c r="B167" s="29"/>
    </row>
    <row r="168" customFormat="false" ht="15" hidden="false" customHeight="false" outlineLevel="0" collapsed="false">
      <c r="A168" s="28" t="n">
        <v>167</v>
      </c>
      <c r="B168" s="29" t="s">
        <v>494</v>
      </c>
    </row>
    <row r="169" customFormat="false" ht="15" hidden="false" customHeight="false" outlineLevel="0" collapsed="false">
      <c r="A169" s="28" t="n">
        <v>168</v>
      </c>
      <c r="B169" s="29"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2026-09-30T08:43:39Z</dcterms:created>
  <dc:creator>openpyxl</dc:creator>
  <dc:description/>
  <dc:language>en-US</dc:language>
  <cp:lastModifiedBy/>
  <dcterms:modified xsi:type="dcterms:W3CDTF">2026-09-30T08:43:41Z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